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otorres/Desktop/IA_Fabio/Simulador_Financiamentos/"/>
    </mc:Choice>
  </mc:AlternateContent>
  <xr:revisionPtr revIDLastSave="0" documentId="13_ncr:1_{7137A85E-9138-B140-8D65-C9C53C7484F7}" xr6:coauthVersionLast="47" xr6:coauthVersionMax="47" xr10:uidLastSave="{00000000-0000-0000-0000-000000000000}"/>
  <bookViews>
    <workbookView xWindow="-28800" yWindow="-400" windowWidth="28800" windowHeight="17400" activeTab="1" xr2:uid="{4039153E-0DDA-5D41-A14D-6CCB62098CC9}"/>
  </bookViews>
  <sheets>
    <sheet name="mapeamento dos emprestimos" sheetId="8" r:id="rId1"/>
    <sheet name="SAC" sheetId="9" r:id="rId2"/>
    <sheet name="PRICE" sheetId="10" r:id="rId3"/>
    <sheet name="comparação" sheetId="12" r:id="rId4"/>
  </sheets>
  <definedNames>
    <definedName name="_xlnm._FilterDatabase" localSheetId="0" hidden="1">'mapeamento dos emprestimos'!$A$2:$HF$10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9" l="1"/>
  <c r="N15" i="10"/>
  <c r="N16" i="10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14" i="10"/>
  <c r="N13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12" i="10"/>
  <c r="H5" i="10"/>
  <c r="H3" i="10"/>
  <c r="M3" i="10"/>
  <c r="C12" i="10" l="1"/>
  <c r="D7" i="12" s="1"/>
  <c r="M5" i="10"/>
  <c r="H5" i="9"/>
  <c r="D12" i="10" l="1"/>
  <c r="E12" i="10" s="1"/>
  <c r="H12" i="10" s="1"/>
  <c r="J12" i="10" s="1"/>
  <c r="C12" i="9"/>
  <c r="C7" i="12" s="1"/>
  <c r="K1" i="8"/>
  <c r="L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R1" i="8"/>
  <c r="AS1" i="8"/>
  <c r="AT1" i="8"/>
  <c r="AU1" i="8"/>
  <c r="AV1" i="8"/>
  <c r="AW1" i="8"/>
  <c r="AX1" i="8"/>
  <c r="AY1" i="8"/>
  <c r="AZ1" i="8"/>
  <c r="BA1" i="8"/>
  <c r="BB1" i="8"/>
  <c r="BC1" i="8"/>
  <c r="BD1" i="8"/>
  <c r="BE1" i="8"/>
  <c r="BF1" i="8"/>
  <c r="BG1" i="8"/>
  <c r="BH1" i="8"/>
  <c r="BI1" i="8"/>
  <c r="BJ1" i="8"/>
  <c r="BK1" i="8"/>
  <c r="BL1" i="8"/>
  <c r="BM1" i="8"/>
  <c r="BN1" i="8"/>
  <c r="BO1" i="8"/>
  <c r="BP1" i="8"/>
  <c r="BQ1" i="8"/>
  <c r="BR1" i="8"/>
  <c r="BS1" i="8"/>
  <c r="BT1" i="8"/>
  <c r="BU1" i="8"/>
  <c r="BV1" i="8"/>
  <c r="BW1" i="8"/>
  <c r="BX1" i="8"/>
  <c r="BY1" i="8"/>
  <c r="BZ1" i="8"/>
  <c r="CA1" i="8"/>
  <c r="CB1" i="8"/>
  <c r="CC1" i="8"/>
  <c r="CD1" i="8"/>
  <c r="CE1" i="8"/>
  <c r="CF1" i="8"/>
  <c r="CG1" i="8"/>
  <c r="CH1" i="8"/>
  <c r="CI1" i="8"/>
  <c r="CJ1" i="8"/>
  <c r="CK1" i="8"/>
  <c r="CL1" i="8"/>
  <c r="CM1" i="8"/>
  <c r="CN1" i="8"/>
  <c r="CO1" i="8"/>
  <c r="CP1" i="8"/>
  <c r="CQ1" i="8"/>
  <c r="CR1" i="8"/>
  <c r="CS1" i="8"/>
  <c r="CT1" i="8"/>
  <c r="CU1" i="8"/>
  <c r="CV1" i="8"/>
  <c r="CW1" i="8"/>
  <c r="CX1" i="8"/>
  <c r="CY1" i="8"/>
  <c r="CZ1" i="8"/>
  <c r="DA1" i="8"/>
  <c r="DB1" i="8"/>
  <c r="DC1" i="8"/>
  <c r="DD1" i="8"/>
  <c r="DE1" i="8"/>
  <c r="DF1" i="8"/>
  <c r="DG1" i="8"/>
  <c r="DH1" i="8"/>
  <c r="DI1" i="8"/>
  <c r="DJ1" i="8"/>
  <c r="DK1" i="8"/>
  <c r="DL1" i="8"/>
  <c r="DM1" i="8"/>
  <c r="DN1" i="8"/>
  <c r="DO1" i="8"/>
  <c r="DP1" i="8"/>
  <c r="DQ1" i="8"/>
  <c r="DR1" i="8"/>
  <c r="DS1" i="8"/>
  <c r="DT1" i="8"/>
  <c r="DU1" i="8"/>
  <c r="DV1" i="8"/>
  <c r="DW1" i="8"/>
  <c r="DX1" i="8"/>
  <c r="DY1" i="8"/>
  <c r="DZ1" i="8"/>
  <c r="EA1" i="8"/>
  <c r="EB1" i="8"/>
  <c r="EC1" i="8"/>
  <c r="ED1" i="8"/>
  <c r="EE1" i="8"/>
  <c r="EF1" i="8"/>
  <c r="EG1" i="8"/>
  <c r="EH1" i="8"/>
  <c r="EI1" i="8"/>
  <c r="EJ1" i="8"/>
  <c r="EK1" i="8"/>
  <c r="EL1" i="8"/>
  <c r="EM1" i="8"/>
  <c r="EN1" i="8"/>
  <c r="EO1" i="8"/>
  <c r="EP1" i="8"/>
  <c r="EQ1" i="8"/>
  <c r="ER1" i="8"/>
  <c r="ES1" i="8"/>
  <c r="ET1" i="8"/>
  <c r="EU1" i="8"/>
  <c r="EV1" i="8"/>
  <c r="EW1" i="8"/>
  <c r="EX1" i="8"/>
  <c r="EY1" i="8"/>
  <c r="EZ1" i="8"/>
  <c r="FA1" i="8"/>
  <c r="FB1" i="8"/>
  <c r="FC1" i="8"/>
  <c r="FD1" i="8"/>
  <c r="FE1" i="8"/>
  <c r="FF1" i="8"/>
  <c r="FG1" i="8"/>
  <c r="FH1" i="8"/>
  <c r="FI1" i="8"/>
  <c r="FJ1" i="8"/>
  <c r="FK1" i="8"/>
  <c r="FL1" i="8"/>
  <c r="FM1" i="8"/>
  <c r="FN1" i="8"/>
  <c r="FO1" i="8"/>
  <c r="FP1" i="8"/>
  <c r="FQ1" i="8"/>
  <c r="FR1" i="8"/>
  <c r="FS1" i="8"/>
  <c r="FT1" i="8"/>
  <c r="FU1" i="8"/>
  <c r="FV1" i="8"/>
  <c r="FW1" i="8"/>
  <c r="FX1" i="8"/>
  <c r="FY1" i="8"/>
  <c r="FZ1" i="8"/>
  <c r="GA1" i="8"/>
  <c r="GB1" i="8"/>
  <c r="GC1" i="8"/>
  <c r="GD1" i="8"/>
  <c r="GE1" i="8"/>
  <c r="GF1" i="8"/>
  <c r="GG1" i="8"/>
  <c r="GH1" i="8"/>
  <c r="GI1" i="8"/>
  <c r="GJ1" i="8"/>
  <c r="GK1" i="8"/>
  <c r="GL1" i="8"/>
  <c r="GM1" i="8"/>
  <c r="GN1" i="8"/>
  <c r="GO1" i="8"/>
  <c r="GP1" i="8"/>
  <c r="GQ1" i="8"/>
  <c r="GR1" i="8"/>
  <c r="GS1" i="8"/>
  <c r="GT1" i="8"/>
  <c r="GU1" i="8"/>
  <c r="GV1" i="8"/>
  <c r="GW1" i="8"/>
  <c r="GX1" i="8"/>
  <c r="GY1" i="8"/>
  <c r="GZ1" i="8"/>
  <c r="HA1" i="8"/>
  <c r="HB1" i="8"/>
  <c r="HC1" i="8"/>
  <c r="HD1" i="8"/>
  <c r="HE1" i="8"/>
  <c r="HF1" i="8"/>
  <c r="M1" i="8"/>
  <c r="F1" i="8"/>
  <c r="J1" i="8"/>
  <c r="H1" i="8" l="1"/>
  <c r="M2" i="10"/>
  <c r="M4" i="10" s="1"/>
  <c r="M6" i="10" s="1"/>
  <c r="F12" i="10"/>
  <c r="F7" i="12" s="1"/>
  <c r="D12" i="9"/>
  <c r="D1" i="8"/>
  <c r="E12" i="9" l="1"/>
  <c r="F12" i="9" s="1"/>
  <c r="H12" i="9" s="1"/>
  <c r="G12" i="10"/>
  <c r="K12" i="10" s="1"/>
  <c r="G3" i="8"/>
  <c r="E7" i="12" l="1"/>
  <c r="K12" i="9"/>
  <c r="C13" i="9" s="1"/>
  <c r="C8" i="12" s="1"/>
  <c r="H7" i="12"/>
  <c r="C13" i="10"/>
  <c r="J12" i="9"/>
  <c r="G7" i="12" s="1"/>
  <c r="D13" i="10" l="1"/>
  <c r="E13" i="10" s="1"/>
  <c r="H13" i="10" s="1"/>
  <c r="J13" i="10" s="1"/>
  <c r="D8" i="12"/>
  <c r="F13" i="10"/>
  <c r="D13" i="9"/>
  <c r="E13" i="9" l="1"/>
  <c r="G13" i="10"/>
  <c r="F8" i="12"/>
  <c r="K13" i="10"/>
  <c r="C14" i="10" s="1"/>
  <c r="G13" i="9"/>
  <c r="F13" i="9"/>
  <c r="E8" i="12" l="1"/>
  <c r="H13" i="9"/>
  <c r="H8" i="12"/>
  <c r="D14" i="10"/>
  <c r="E14" i="10" s="1"/>
  <c r="H14" i="10" s="1"/>
  <c r="J14" i="10" s="1"/>
  <c r="D9" i="12"/>
  <c r="K13" i="9"/>
  <c r="F14" i="10" l="1"/>
  <c r="G14" i="10" l="1"/>
  <c r="F9" i="12"/>
  <c r="K14" i="10"/>
  <c r="C15" i="10" s="1"/>
  <c r="H9" i="12" l="1"/>
  <c r="D15" i="10"/>
  <c r="E15" i="10" s="1"/>
  <c r="H15" i="10" s="1"/>
  <c r="J15" i="10" s="1"/>
  <c r="D10" i="12"/>
  <c r="F15" i="10" l="1"/>
  <c r="G15" i="10" s="1"/>
  <c r="K15" i="10" s="1"/>
  <c r="C16" i="10" s="1"/>
  <c r="F10" i="12" l="1"/>
  <c r="H10" i="12"/>
  <c r="D16" i="10"/>
  <c r="E16" i="10" s="1"/>
  <c r="H16" i="10" s="1"/>
  <c r="J16" i="10" s="1"/>
  <c r="D11" i="12"/>
  <c r="F16" i="10" l="1"/>
  <c r="H11" i="12" l="1"/>
  <c r="G16" i="10"/>
  <c r="K16" i="10" s="1"/>
  <c r="C17" i="10" s="1"/>
  <c r="F11" i="12"/>
  <c r="D17" i="10" l="1"/>
  <c r="E17" i="10" s="1"/>
  <c r="H17" i="10" s="1"/>
  <c r="J17" i="10" s="1"/>
  <c r="D12" i="12"/>
  <c r="F17" i="10" l="1"/>
  <c r="G17" i="10"/>
  <c r="F12" i="12"/>
  <c r="K17" i="10" l="1"/>
  <c r="C18" i="10" s="1"/>
  <c r="H12" i="12" l="1"/>
  <c r="D18" i="10"/>
  <c r="E18" i="10" s="1"/>
  <c r="H18" i="10" s="1"/>
  <c r="J18" i="10" s="1"/>
  <c r="D13" i="12"/>
  <c r="F18" i="10" l="1"/>
  <c r="G18" i="10" s="1"/>
  <c r="F13" i="12" l="1"/>
  <c r="J13" i="9"/>
  <c r="G8" i="12" s="1"/>
  <c r="C14" i="9"/>
  <c r="C9" i="12" s="1"/>
  <c r="D14" i="9" l="1"/>
  <c r="E14" i="9" l="1"/>
  <c r="G14" i="9" l="1"/>
  <c r="F14" i="9"/>
  <c r="E9" i="12" l="1"/>
  <c r="H14" i="9"/>
  <c r="K14" i="9"/>
  <c r="C15" i="9" s="1"/>
  <c r="D15" i="9" l="1"/>
  <c r="C10" i="12"/>
  <c r="J14" i="9"/>
  <c r="G9" i="12" s="1"/>
  <c r="E15" i="9" l="1"/>
  <c r="G15" i="9"/>
  <c r="F15" i="9"/>
  <c r="E10" i="12" l="1"/>
  <c r="H15" i="9"/>
  <c r="K15" i="9"/>
  <c r="C16" i="9" s="1"/>
  <c r="D16" i="9" l="1"/>
  <c r="E16" i="9" s="1"/>
  <c r="F16" i="9" s="1"/>
  <c r="C11" i="12"/>
  <c r="G16" i="9"/>
  <c r="J15" i="9"/>
  <c r="G10" i="12" s="1"/>
  <c r="E11" i="12" l="1"/>
  <c r="H16" i="9"/>
  <c r="K16" i="9"/>
  <c r="C17" i="9" s="1"/>
  <c r="D17" i="9" l="1"/>
  <c r="E17" i="9" s="1"/>
  <c r="G17" i="9" s="1"/>
  <c r="C12" i="12"/>
  <c r="J16" i="9"/>
  <c r="G11" i="12" s="1"/>
  <c r="F17" i="9" l="1"/>
  <c r="K17" i="9"/>
  <c r="C18" i="9" s="1"/>
  <c r="E12" i="12" l="1"/>
  <c r="H17" i="9"/>
  <c r="D18" i="9"/>
  <c r="E18" i="9" s="1"/>
  <c r="F18" i="9" s="1"/>
  <c r="C13" i="12"/>
  <c r="J17" i="9"/>
  <c r="G12" i="12" s="1"/>
  <c r="E13" i="12" l="1"/>
  <c r="G18" i="9"/>
  <c r="K18" i="9" s="1"/>
  <c r="C19" i="9" s="1"/>
  <c r="H18" i="9" l="1"/>
  <c r="J18" i="9" s="1"/>
  <c r="G13" i="12" s="1"/>
  <c r="D19" i="9"/>
  <c r="E19" i="9" s="1"/>
  <c r="G19" i="9" s="1"/>
  <c r="K19" i="9" s="1"/>
  <c r="C14" i="12"/>
  <c r="F19" i="9" l="1"/>
  <c r="C20" i="9"/>
  <c r="E14" i="12" l="1"/>
  <c r="H19" i="9"/>
  <c r="D20" i="9"/>
  <c r="E20" i="9" s="1"/>
  <c r="C15" i="12"/>
  <c r="J19" i="9"/>
  <c r="G14" i="12" s="1"/>
  <c r="G20" i="9" l="1"/>
  <c r="F20" i="9"/>
  <c r="E15" i="12" l="1"/>
  <c r="H20" i="9"/>
  <c r="J20" i="9"/>
  <c r="G15" i="12" s="1"/>
  <c r="K20" i="9"/>
  <c r="C21" i="9" s="1"/>
  <c r="D21" i="9" l="1"/>
  <c r="E21" i="9" s="1"/>
  <c r="G21" i="9" s="1"/>
  <c r="K21" i="9" s="1"/>
  <c r="C22" i="9" s="1"/>
  <c r="C16" i="12"/>
  <c r="F21" i="9" l="1"/>
  <c r="D22" i="9"/>
  <c r="E22" i="9" s="1"/>
  <c r="F22" i="9" s="1"/>
  <c r="C17" i="12"/>
  <c r="E17" i="12" l="1"/>
  <c r="E16" i="12"/>
  <c r="H21" i="9"/>
  <c r="J21" i="9" s="1"/>
  <c r="G16" i="12" s="1"/>
  <c r="G22" i="9"/>
  <c r="K22" i="9" s="1"/>
  <c r="C23" i="9" s="1"/>
  <c r="H22" i="9" l="1"/>
  <c r="D23" i="9"/>
  <c r="E23" i="9" s="1"/>
  <c r="F23" i="9" s="1"/>
  <c r="C18" i="12"/>
  <c r="G23" i="9"/>
  <c r="K23" i="9" s="1"/>
  <c r="J22" i="9"/>
  <c r="G17" i="12" s="1"/>
  <c r="E18" i="12" l="1"/>
  <c r="H23" i="9"/>
  <c r="C24" i="9"/>
  <c r="D24" i="9" l="1"/>
  <c r="E24" i="9" s="1"/>
  <c r="G24" i="9" s="1"/>
  <c r="K24" i="9" s="1"/>
  <c r="C19" i="12"/>
  <c r="J23" i="9"/>
  <c r="G18" i="12" s="1"/>
  <c r="F24" i="9" l="1"/>
  <c r="C25" i="9"/>
  <c r="E19" i="12" l="1"/>
  <c r="H24" i="9"/>
  <c r="J24" i="9" s="1"/>
  <c r="G19" i="12" s="1"/>
  <c r="D25" i="9"/>
  <c r="E25" i="9" s="1"/>
  <c r="G25" i="9" s="1"/>
  <c r="K25" i="9" s="1"/>
  <c r="C20" i="12"/>
  <c r="F25" i="9" l="1"/>
  <c r="E20" i="12"/>
  <c r="H25" i="9"/>
  <c r="C26" i="9"/>
  <c r="D26" i="9" l="1"/>
  <c r="E26" i="9" s="1"/>
  <c r="C21" i="12"/>
  <c r="J25" i="9"/>
  <c r="G20" i="12" s="1"/>
  <c r="G26" i="9" l="1"/>
  <c r="F26" i="9"/>
  <c r="H26" i="9" l="1"/>
  <c r="J26" i="9"/>
  <c r="G21" i="12" s="1"/>
  <c r="E21" i="12"/>
  <c r="K26" i="9"/>
  <c r="C27" i="9" s="1"/>
  <c r="D27" i="9" l="1"/>
  <c r="E27" i="9" s="1"/>
  <c r="G27" i="9" s="1"/>
  <c r="K27" i="9" s="1"/>
  <c r="C28" i="9" s="1"/>
  <c r="C22" i="12"/>
  <c r="F27" i="9" l="1"/>
  <c r="D28" i="9"/>
  <c r="E28" i="9" s="1"/>
  <c r="C23" i="12"/>
  <c r="E22" i="12" l="1"/>
  <c r="H27" i="9"/>
  <c r="J27" i="9" s="1"/>
  <c r="G22" i="12" s="1"/>
  <c r="G28" i="9"/>
  <c r="K28" i="9" s="1"/>
  <c r="C29" i="9" s="1"/>
  <c r="F28" i="9"/>
  <c r="H28" i="9" l="1"/>
  <c r="J28" i="9" s="1"/>
  <c r="G23" i="12" s="1"/>
  <c r="D29" i="9"/>
  <c r="E29" i="9" s="1"/>
  <c r="C24" i="12"/>
  <c r="E23" i="12"/>
  <c r="G29" i="9" l="1"/>
  <c r="K29" i="9" s="1"/>
  <c r="F29" i="9"/>
  <c r="H29" i="9" l="1"/>
  <c r="E24" i="12"/>
  <c r="C30" i="9"/>
  <c r="D30" i="9" l="1"/>
  <c r="E30" i="9" s="1"/>
  <c r="F30" i="9" s="1"/>
  <c r="C25" i="12"/>
  <c r="J29" i="9"/>
  <c r="G24" i="12" s="1"/>
  <c r="G30" i="9" l="1"/>
  <c r="K30" i="9" s="1"/>
  <c r="E25" i="12"/>
  <c r="H30" i="9"/>
  <c r="C31" i="9"/>
  <c r="D31" i="9" l="1"/>
  <c r="E31" i="9" s="1"/>
  <c r="F31" i="9" s="1"/>
  <c r="C26" i="12"/>
  <c r="G31" i="9"/>
  <c r="K31" i="9" s="1"/>
  <c r="J30" i="9"/>
  <c r="G25" i="12" s="1"/>
  <c r="E26" i="12" l="1"/>
  <c r="H31" i="9"/>
  <c r="C32" i="9"/>
  <c r="D32" i="9" l="1"/>
  <c r="E32" i="9" s="1"/>
  <c r="F32" i="9" s="1"/>
  <c r="C27" i="12"/>
  <c r="J31" i="9"/>
  <c r="G26" i="12" s="1"/>
  <c r="G32" i="9" l="1"/>
  <c r="K32" i="9" s="1"/>
  <c r="C33" i="9" s="1"/>
  <c r="E27" i="12"/>
  <c r="H32" i="9" l="1"/>
  <c r="J32" i="9" s="1"/>
  <c r="G27" i="12" s="1"/>
  <c r="D33" i="9"/>
  <c r="E33" i="9" s="1"/>
  <c r="G33" i="9" s="1"/>
  <c r="K33" i="9" s="1"/>
  <c r="C28" i="12"/>
  <c r="F33" i="9" l="1"/>
  <c r="C34" i="9"/>
  <c r="E28" i="12" l="1"/>
  <c r="H33" i="9"/>
  <c r="J33" i="9"/>
  <c r="G28" i="12" s="1"/>
  <c r="D34" i="9"/>
  <c r="E34" i="9" s="1"/>
  <c r="C29" i="12"/>
  <c r="G34" i="9" l="1"/>
  <c r="K34" i="9" s="1"/>
  <c r="F34" i="9"/>
  <c r="E29" i="12" l="1"/>
  <c r="H34" i="9"/>
  <c r="C35" i="9"/>
  <c r="D35" i="9" l="1"/>
  <c r="C30" i="12"/>
  <c r="J34" i="9"/>
  <c r="G29" i="12" s="1"/>
  <c r="E35" i="9"/>
  <c r="G35" i="9" l="1"/>
  <c r="K35" i="9" s="1"/>
  <c r="F35" i="9"/>
  <c r="E30" i="12" l="1"/>
  <c r="H35" i="9"/>
  <c r="C36" i="9"/>
  <c r="D36" i="9" l="1"/>
  <c r="E36" i="9" s="1"/>
  <c r="F36" i="9" s="1"/>
  <c r="C31" i="12"/>
  <c r="J35" i="9"/>
  <c r="G30" i="12" s="1"/>
  <c r="G36" i="9" l="1"/>
  <c r="K36" i="9" s="1"/>
  <c r="C37" i="9" s="1"/>
  <c r="E31" i="12"/>
  <c r="H36" i="9"/>
  <c r="D37" i="9" l="1"/>
  <c r="E37" i="9" s="1"/>
  <c r="F37" i="9" s="1"/>
  <c r="C32" i="12"/>
  <c r="J36" i="9"/>
  <c r="G31" i="12" s="1"/>
  <c r="G37" i="9" l="1"/>
  <c r="K37" i="9" s="1"/>
  <c r="C38" i="9" s="1"/>
  <c r="C33" i="12" s="1"/>
  <c r="E32" i="12"/>
  <c r="H37" i="9"/>
  <c r="D38" i="9"/>
  <c r="E38" i="9" s="1"/>
  <c r="G38" i="9" l="1"/>
  <c r="K38" i="9" s="1"/>
  <c r="J37" i="9"/>
  <c r="G32" i="12" s="1"/>
  <c r="F38" i="9"/>
  <c r="E33" i="12" l="1"/>
  <c r="H38" i="9"/>
  <c r="C39" i="9"/>
  <c r="D39" i="9" l="1"/>
  <c r="E39" i="9" s="1"/>
  <c r="C34" i="12"/>
  <c r="J38" i="9"/>
  <c r="G33" i="12" s="1"/>
  <c r="G39" i="9" l="1"/>
  <c r="K39" i="9" s="1"/>
  <c r="C40" i="9" s="1"/>
  <c r="F39" i="9"/>
  <c r="H39" i="9" l="1"/>
  <c r="D40" i="9"/>
  <c r="E40" i="9" s="1"/>
  <c r="G40" i="9" s="1"/>
  <c r="K40" i="9" s="1"/>
  <c r="C35" i="12"/>
  <c r="J39" i="9"/>
  <c r="G34" i="12" s="1"/>
  <c r="E34" i="12"/>
  <c r="F40" i="9" l="1"/>
  <c r="C41" i="9"/>
  <c r="E35" i="12" l="1"/>
  <c r="H40" i="9"/>
  <c r="D41" i="9"/>
  <c r="E41" i="9" s="1"/>
  <c r="C36" i="12"/>
  <c r="J40" i="9"/>
  <c r="G35" i="12" s="1"/>
  <c r="G41" i="9" l="1"/>
  <c r="K41" i="9" s="1"/>
  <c r="C42" i="9" s="1"/>
  <c r="F41" i="9"/>
  <c r="H41" i="9" l="1"/>
  <c r="D42" i="9"/>
  <c r="E42" i="9" s="1"/>
  <c r="G42" i="9" s="1"/>
  <c r="K42" i="9" s="1"/>
  <c r="C37" i="12"/>
  <c r="J41" i="9"/>
  <c r="G36" i="12" s="1"/>
  <c r="E36" i="12"/>
  <c r="F42" i="9" l="1"/>
  <c r="C43" i="9"/>
  <c r="E37" i="12" l="1"/>
  <c r="H42" i="9"/>
  <c r="J42" i="9" s="1"/>
  <c r="G37" i="12" s="1"/>
  <c r="D43" i="9"/>
  <c r="E43" i="9" s="1"/>
  <c r="F43" i="9" s="1"/>
  <c r="C38" i="12"/>
  <c r="E38" i="12" l="1"/>
  <c r="G43" i="9"/>
  <c r="K43" i="9" s="1"/>
  <c r="C44" i="9" s="1"/>
  <c r="H43" i="9" l="1"/>
  <c r="J43" i="9" s="1"/>
  <c r="G38" i="12" s="1"/>
  <c r="D44" i="9"/>
  <c r="E44" i="9" s="1"/>
  <c r="C39" i="12"/>
  <c r="G44" i="9" l="1"/>
  <c r="K44" i="9" s="1"/>
  <c r="C45" i="9" s="1"/>
  <c r="F44" i="9"/>
  <c r="H44" i="9" l="1"/>
  <c r="D45" i="9"/>
  <c r="E45" i="9" s="1"/>
  <c r="G45" i="9" s="1"/>
  <c r="K45" i="9" s="1"/>
  <c r="C40" i="12"/>
  <c r="J44" i="9"/>
  <c r="G39" i="12" s="1"/>
  <c r="E39" i="12"/>
  <c r="F45" i="9" l="1"/>
  <c r="C46" i="9"/>
  <c r="E40" i="12" l="1"/>
  <c r="H45" i="9"/>
  <c r="J45" i="9" s="1"/>
  <c r="G40" i="12" s="1"/>
  <c r="D46" i="9"/>
  <c r="E46" i="9" s="1"/>
  <c r="F46" i="9" s="1"/>
  <c r="C41" i="12"/>
  <c r="G46" i="9" l="1"/>
  <c r="K46" i="9" s="1"/>
  <c r="C47" i="9" s="1"/>
  <c r="E41" i="12"/>
  <c r="H46" i="9" l="1"/>
  <c r="D47" i="9"/>
  <c r="D9" i="9" s="1"/>
  <c r="C42" i="12"/>
  <c r="J46" i="9"/>
  <c r="G41" i="12" s="1"/>
  <c r="E47" i="9" l="1"/>
  <c r="G47" i="9" s="1"/>
  <c r="K47" i="9" s="1"/>
  <c r="F47" i="9" l="1"/>
  <c r="E42" i="12"/>
  <c r="H47" i="9"/>
  <c r="J47" i="9" s="1"/>
  <c r="G42" i="12" s="1"/>
  <c r="K18" i="10" l="1"/>
  <c r="C19" i="10" s="1"/>
  <c r="H13" i="12" l="1"/>
  <c r="D19" i="10"/>
  <c r="E19" i="10" s="1"/>
  <c r="H19" i="10" s="1"/>
  <c r="J19" i="10" s="1"/>
  <c r="D14" i="12"/>
  <c r="F19" i="10" l="1"/>
  <c r="F14" i="12" s="1"/>
  <c r="G19" i="10" l="1"/>
  <c r="K19" i="10" s="1"/>
  <c r="C20" i="10" s="1"/>
  <c r="D15" i="12" s="1"/>
  <c r="H14" i="12" l="1"/>
  <c r="D20" i="10"/>
  <c r="E20" i="10" l="1"/>
  <c r="H20" i="10" s="1"/>
  <c r="J20" i="10" s="1"/>
  <c r="F20" i="10" l="1"/>
  <c r="F15" i="12" s="1"/>
  <c r="G20" i="10" l="1"/>
  <c r="K20" i="10" s="1"/>
  <c r="C21" i="10" s="1"/>
  <c r="D16" i="12" s="1"/>
  <c r="H15" i="12" l="1"/>
  <c r="D21" i="10"/>
  <c r="E21" i="10" l="1"/>
  <c r="H21" i="10" s="1"/>
  <c r="J21" i="10" s="1"/>
  <c r="F21" i="10" l="1"/>
  <c r="F16" i="12" s="1"/>
  <c r="G21" i="10" l="1"/>
  <c r="K21" i="10" s="1"/>
  <c r="C22" i="10" s="1"/>
  <c r="D17" i="12" s="1"/>
  <c r="H16" i="12" l="1"/>
  <c r="D22" i="10"/>
  <c r="E22" i="10" s="1"/>
  <c r="H22" i="10" s="1"/>
  <c r="J22" i="10" s="1"/>
  <c r="F22" i="10" l="1"/>
  <c r="F17" i="12" s="1"/>
  <c r="G22" i="10" l="1"/>
  <c r="K22" i="10" s="1"/>
  <c r="C23" i="10" s="1"/>
  <c r="D18" i="12" s="1"/>
  <c r="H17" i="12" l="1"/>
  <c r="D23" i="10"/>
  <c r="E23" i="10" s="1"/>
  <c r="H23" i="10" s="1"/>
  <c r="J23" i="10" s="1"/>
  <c r="F23" i="10" l="1"/>
  <c r="F18" i="12" s="1"/>
  <c r="G23" i="10" l="1"/>
  <c r="K23" i="10" s="1"/>
  <c r="C24" i="10" s="1"/>
  <c r="D19" i="12" s="1"/>
  <c r="H18" i="12" l="1"/>
  <c r="D24" i="10"/>
  <c r="E24" i="10" s="1"/>
  <c r="H24" i="10" s="1"/>
  <c r="J24" i="10" s="1"/>
  <c r="F24" i="10" l="1"/>
  <c r="F19" i="12" s="1"/>
  <c r="G24" i="10" l="1"/>
  <c r="K24" i="10" s="1"/>
  <c r="C25" i="10" s="1"/>
  <c r="D20" i="12" s="1"/>
  <c r="H19" i="12" l="1"/>
  <c r="D25" i="10"/>
  <c r="E25" i="10" s="1"/>
  <c r="H25" i="10" s="1"/>
  <c r="J25" i="10" s="1"/>
  <c r="F25" i="10" l="1"/>
  <c r="F20" i="12" s="1"/>
  <c r="G25" i="10" l="1"/>
  <c r="K25" i="10" s="1"/>
  <c r="C26" i="10" s="1"/>
  <c r="D21" i="12" s="1"/>
  <c r="H20" i="12" l="1"/>
  <c r="D26" i="10"/>
  <c r="E26" i="10" s="1"/>
  <c r="H26" i="10" s="1"/>
  <c r="J26" i="10" s="1"/>
  <c r="F26" i="10" l="1"/>
  <c r="F21" i="12" s="1"/>
  <c r="G26" i="10" l="1"/>
  <c r="K26" i="10" s="1"/>
  <c r="C27" i="10" s="1"/>
  <c r="D22" i="12" s="1"/>
  <c r="H21" i="12" l="1"/>
  <c r="D27" i="10"/>
  <c r="E27" i="10" s="1"/>
  <c r="H27" i="10" s="1"/>
  <c r="J27" i="10" s="1"/>
  <c r="F27" i="10" l="1"/>
  <c r="F22" i="12" s="1"/>
  <c r="G27" i="10" l="1"/>
  <c r="K27" i="10" s="1"/>
  <c r="C28" i="10" s="1"/>
  <c r="D23" i="12" s="1"/>
  <c r="H22" i="12" l="1"/>
  <c r="D28" i="10"/>
  <c r="E28" i="10" s="1"/>
  <c r="H28" i="10" s="1"/>
  <c r="J28" i="10" s="1"/>
  <c r="F28" i="10" l="1"/>
  <c r="F23" i="12" s="1"/>
  <c r="G28" i="10" l="1"/>
  <c r="K28" i="10" s="1"/>
  <c r="C29" i="10" s="1"/>
  <c r="D24" i="12" s="1"/>
  <c r="H23" i="12" l="1"/>
  <c r="D29" i="10"/>
  <c r="E29" i="10" s="1"/>
  <c r="H29" i="10" s="1"/>
  <c r="J29" i="10" s="1"/>
  <c r="F29" i="10" l="1"/>
  <c r="F24" i="12" s="1"/>
  <c r="G29" i="10" l="1"/>
  <c r="K29" i="10" s="1"/>
  <c r="C30" i="10" s="1"/>
  <c r="D25" i="12" s="1"/>
  <c r="H24" i="12" l="1"/>
  <c r="D30" i="10"/>
  <c r="E30" i="10" s="1"/>
  <c r="H30" i="10" s="1"/>
  <c r="J30" i="10" s="1"/>
  <c r="F30" i="10" l="1"/>
  <c r="F25" i="12" s="1"/>
  <c r="G30" i="10" l="1"/>
  <c r="K30" i="10" s="1"/>
  <c r="C31" i="10" s="1"/>
  <c r="D26" i="12" s="1"/>
  <c r="H25" i="12" l="1"/>
  <c r="D31" i="10"/>
  <c r="E31" i="10" s="1"/>
  <c r="H31" i="10" s="1"/>
  <c r="J31" i="10" s="1"/>
  <c r="F31" i="10" l="1"/>
  <c r="F26" i="12" s="1"/>
  <c r="G31" i="10" l="1"/>
  <c r="K31" i="10" s="1"/>
  <c r="C32" i="10" s="1"/>
  <c r="D27" i="12" s="1"/>
  <c r="H26" i="12" l="1"/>
  <c r="D32" i="10"/>
  <c r="E32" i="10" s="1"/>
  <c r="H32" i="10" s="1"/>
  <c r="J32" i="10" s="1"/>
  <c r="F32" i="10" l="1"/>
  <c r="F27" i="12" s="1"/>
  <c r="G32" i="10" l="1"/>
  <c r="K32" i="10" s="1"/>
  <c r="C33" i="10" s="1"/>
  <c r="D28" i="12" s="1"/>
  <c r="H27" i="12" l="1"/>
  <c r="D33" i="10"/>
  <c r="E33" i="10" s="1"/>
  <c r="H33" i="10" s="1"/>
  <c r="J33" i="10" s="1"/>
  <c r="F33" i="10" l="1"/>
  <c r="F28" i="12" s="1"/>
  <c r="G33" i="10" l="1"/>
  <c r="K33" i="10" s="1"/>
  <c r="C34" i="10" s="1"/>
  <c r="D29" i="12" s="1"/>
  <c r="H28" i="12" l="1"/>
  <c r="D34" i="10"/>
  <c r="E34" i="10" s="1"/>
  <c r="H34" i="10" s="1"/>
  <c r="J34" i="10" s="1"/>
  <c r="F34" i="10" l="1"/>
  <c r="F29" i="12" s="1"/>
  <c r="G34" i="10" l="1"/>
  <c r="K34" i="10" s="1"/>
  <c r="C35" i="10" s="1"/>
  <c r="D30" i="12" s="1"/>
  <c r="H29" i="12" l="1"/>
  <c r="D35" i="10"/>
  <c r="E35" i="10" s="1"/>
  <c r="H35" i="10" s="1"/>
  <c r="J35" i="10" s="1"/>
  <c r="F35" i="10" l="1"/>
  <c r="F30" i="12" s="1"/>
  <c r="G35" i="10" l="1"/>
  <c r="K35" i="10" s="1"/>
  <c r="C36" i="10" s="1"/>
  <c r="D31" i="12" s="1"/>
  <c r="H30" i="12" l="1"/>
  <c r="D36" i="10"/>
  <c r="E36" i="10" s="1"/>
  <c r="H36" i="10" s="1"/>
  <c r="J36" i="10" s="1"/>
  <c r="F36" i="10" l="1"/>
  <c r="F31" i="12" s="1"/>
  <c r="G36" i="10" l="1"/>
  <c r="K36" i="10" s="1"/>
  <c r="C37" i="10" s="1"/>
  <c r="D32" i="12" s="1"/>
  <c r="H31" i="12" l="1"/>
  <c r="D37" i="10"/>
  <c r="E37" i="10" s="1"/>
  <c r="H37" i="10" s="1"/>
  <c r="J37" i="10" s="1"/>
  <c r="F37" i="10" l="1"/>
  <c r="F32" i="12" s="1"/>
  <c r="G37" i="10" l="1"/>
  <c r="K37" i="10" s="1"/>
  <c r="C38" i="10" s="1"/>
  <c r="D33" i="12" s="1"/>
  <c r="H32" i="12" l="1"/>
  <c r="D38" i="10"/>
  <c r="E38" i="10" s="1"/>
  <c r="H38" i="10" s="1"/>
  <c r="J38" i="10" s="1"/>
  <c r="F38" i="10" l="1"/>
  <c r="F33" i="12" s="1"/>
  <c r="G38" i="10" l="1"/>
  <c r="K38" i="10" s="1"/>
  <c r="C39" i="10" s="1"/>
  <c r="D34" i="12" s="1"/>
  <c r="H33" i="12" l="1"/>
  <c r="D39" i="10"/>
  <c r="E39" i="10" s="1"/>
  <c r="H39" i="10" s="1"/>
  <c r="J39" i="10" s="1"/>
  <c r="F39" i="10" l="1"/>
  <c r="F34" i="12" s="1"/>
  <c r="G39" i="10" l="1"/>
  <c r="K39" i="10" s="1"/>
  <c r="C40" i="10" s="1"/>
  <c r="D35" i="12" s="1"/>
  <c r="H34" i="12" l="1"/>
  <c r="D40" i="10"/>
  <c r="E40" i="10" s="1"/>
  <c r="H40" i="10" s="1"/>
  <c r="J40" i="10" s="1"/>
  <c r="F40" i="10" l="1"/>
  <c r="F35" i="12" s="1"/>
  <c r="G40" i="10" l="1"/>
  <c r="K40" i="10" s="1"/>
  <c r="C41" i="10" s="1"/>
  <c r="D36" i="12" s="1"/>
  <c r="H35" i="12" l="1"/>
  <c r="D41" i="10"/>
  <c r="E41" i="10" s="1"/>
  <c r="H41" i="10" s="1"/>
  <c r="J41" i="10" s="1"/>
  <c r="F41" i="10" l="1"/>
  <c r="F36" i="12" s="1"/>
  <c r="G41" i="10" l="1"/>
  <c r="K41" i="10" s="1"/>
  <c r="C42" i="10" s="1"/>
  <c r="D37" i="12" s="1"/>
  <c r="H36" i="12" l="1"/>
  <c r="D42" i="10"/>
  <c r="E42" i="10" s="1"/>
  <c r="H42" i="10" s="1"/>
  <c r="J42" i="10" s="1"/>
  <c r="F42" i="10" l="1"/>
  <c r="F37" i="12" s="1"/>
  <c r="G42" i="10" l="1"/>
  <c r="K42" i="10" s="1"/>
  <c r="C43" i="10" s="1"/>
  <c r="D38" i="12" s="1"/>
  <c r="H37" i="12" l="1"/>
  <c r="D43" i="10"/>
  <c r="E43" i="10" s="1"/>
  <c r="H43" i="10" s="1"/>
  <c r="J43" i="10" s="1"/>
  <c r="F43" i="10" l="1"/>
  <c r="F38" i="12" s="1"/>
  <c r="G43" i="10" l="1"/>
  <c r="K43" i="10" s="1"/>
  <c r="C44" i="10" s="1"/>
  <c r="D39" i="12" s="1"/>
  <c r="H38" i="12" l="1"/>
  <c r="D44" i="10"/>
  <c r="E44" i="10" s="1"/>
  <c r="H44" i="10" s="1"/>
  <c r="J44" i="10" s="1"/>
  <c r="F44" i="10" l="1"/>
  <c r="F39" i="12" s="1"/>
  <c r="G44" i="10" l="1"/>
  <c r="K44" i="10" s="1"/>
  <c r="C45" i="10" s="1"/>
  <c r="D40" i="12" s="1"/>
  <c r="H39" i="12" l="1"/>
  <c r="D45" i="10"/>
  <c r="E45" i="10" s="1"/>
  <c r="H45" i="10" s="1"/>
  <c r="J45" i="10" s="1"/>
  <c r="F45" i="10" l="1"/>
  <c r="F40" i="12" s="1"/>
  <c r="G45" i="10" l="1"/>
  <c r="K45" i="10" s="1"/>
  <c r="C46" i="10" s="1"/>
  <c r="D41" i="12" s="1"/>
  <c r="H40" i="12" l="1"/>
  <c r="D46" i="10"/>
  <c r="E46" i="10" s="1"/>
  <c r="H46" i="10" s="1"/>
  <c r="J46" i="10" s="1"/>
  <c r="F46" i="10" l="1"/>
  <c r="F41" i="12" s="1"/>
  <c r="G46" i="10" l="1"/>
  <c r="K46" i="10" s="1"/>
  <c r="C47" i="10" s="1"/>
  <c r="D42" i="12" s="1"/>
  <c r="H41" i="12" l="1"/>
  <c r="D47" i="10"/>
  <c r="E47" i="10" s="1"/>
  <c r="H47" i="10" s="1"/>
  <c r="J47" i="10" s="1"/>
  <c r="F47" i="10" l="1"/>
  <c r="F42" i="12" s="1"/>
  <c r="G47" i="10" l="1"/>
  <c r="K47" i="10" s="1"/>
  <c r="H42" i="12" l="1"/>
  <c r="E5" i="12" l="1"/>
  <c r="J9" i="9" l="1"/>
  <c r="F9" i="9"/>
  <c r="M12" i="9" l="1"/>
  <c r="M13" i="9"/>
  <c r="N13" i="9" s="1"/>
  <c r="M14" i="9"/>
  <c r="M15" i="9"/>
  <c r="M16" i="9"/>
  <c r="M17" i="9"/>
  <c r="M18" i="9"/>
  <c r="M19" i="9"/>
  <c r="M20" i="9"/>
  <c r="M22" i="9"/>
  <c r="M21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N14" i="9" l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F5" i="12" l="1"/>
  <c r="F2" i="12" l="1"/>
  <c r="F3" i="12"/>
  <c r="D9" i="10" l="1"/>
  <c r="F9" i="10" l="1"/>
  <c r="J9" i="10" l="1"/>
</calcChain>
</file>

<file path=xl/sharedStrings.xml><?xml version="1.0" encoding="utf-8"?>
<sst xmlns="http://schemas.openxmlformats.org/spreadsheetml/2006/main" count="79" uniqueCount="40">
  <si>
    <t>Credor</t>
  </si>
  <si>
    <t>Financiamento</t>
  </si>
  <si>
    <t>Tabela</t>
  </si>
  <si>
    <t>Valor Liquido</t>
  </si>
  <si>
    <t>tx</t>
  </si>
  <si>
    <t>N Parcela</t>
  </si>
  <si>
    <t>peso</t>
  </si>
  <si>
    <t>Primeira parcela</t>
  </si>
  <si>
    <t>Ultima Parcela</t>
  </si>
  <si>
    <t>Parcela estimada</t>
  </si>
  <si>
    <t>Parcelas Restantes</t>
  </si>
  <si>
    <t>Valor Total Parcelas</t>
  </si>
  <si>
    <t>Itau</t>
  </si>
  <si>
    <t>Pronampe</t>
  </si>
  <si>
    <t>Price</t>
  </si>
  <si>
    <t>0,48%+Selic</t>
  </si>
  <si>
    <t>Valor Financiado</t>
  </si>
  <si>
    <t>taxa de juros</t>
  </si>
  <si>
    <t>% ao ano</t>
  </si>
  <si>
    <t>SAC</t>
  </si>
  <si>
    <t>% ao mês</t>
  </si>
  <si>
    <t>Correção</t>
  </si>
  <si>
    <t>Prazo de Pagamento</t>
  </si>
  <si>
    <t>anos</t>
  </si>
  <si>
    <t>meses</t>
  </si>
  <si>
    <t>Carência</t>
  </si>
  <si>
    <t>Vencimento</t>
  </si>
  <si>
    <t>Parcela</t>
  </si>
  <si>
    <t>Divida</t>
  </si>
  <si>
    <t>Divida Corrigida</t>
  </si>
  <si>
    <t>Juros</t>
  </si>
  <si>
    <t>Amortização 1</t>
  </si>
  <si>
    <t>Prestação</t>
  </si>
  <si>
    <t>Amortização 2</t>
  </si>
  <si>
    <t>Total (Prestação + Amort 2)</t>
  </si>
  <si>
    <t>Saldo</t>
  </si>
  <si>
    <t>[PV * r * (1 + r)^n] / [(1 + r)^n - 1]</t>
  </si>
  <si>
    <t>PRICE</t>
  </si>
  <si>
    <t>Diferença %</t>
  </si>
  <si>
    <t>Diferença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</si>
</sst>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  <numFmt numFmtId="165" formatCode="_-* #,##0_-;\-* #,##0_-;_-* &quot;-&quot;??_-;_-@_-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0"/>
      <color theme="1"/>
      <name val="Inherit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0" fontId="3" fillId="0" borderId="0" xfId="2" applyNumberFormat="1" applyFont="1"/>
    <xf numFmtId="9" fontId="4" fillId="2" borderId="0" xfId="2" applyFont="1" applyFill="1" applyAlignment="1">
      <alignment horizontal="center"/>
    </xf>
    <xf numFmtId="8" fontId="5" fillId="0" borderId="0" xfId="0" applyNumberFormat="1" applyFont="1"/>
    <xf numFmtId="44" fontId="5" fillId="0" borderId="0" xfId="0" applyNumberFormat="1" applyFont="1"/>
    <xf numFmtId="0" fontId="2" fillId="2" borderId="0" xfId="0" applyFont="1" applyFill="1" applyAlignment="1">
      <alignment horizontal="center"/>
    </xf>
    <xf numFmtId="44" fontId="2" fillId="2" borderId="0" xfId="1" applyFont="1" applyFill="1" applyAlignment="1">
      <alignment horizontal="center"/>
    </xf>
    <xf numFmtId="14" fontId="0" fillId="0" borderId="0" xfId="0" applyNumberFormat="1"/>
    <xf numFmtId="0" fontId="0" fillId="0" borderId="0" xfId="1" applyNumberFormat="1" applyFont="1"/>
    <xf numFmtId="10" fontId="0" fillId="0" borderId="0" xfId="0" applyNumberFormat="1"/>
    <xf numFmtId="10" fontId="0" fillId="0" borderId="0" xfId="2" applyNumberFormat="1" applyFont="1"/>
    <xf numFmtId="164" fontId="0" fillId="0" borderId="0" xfId="2" applyNumberFormat="1" applyFont="1"/>
    <xf numFmtId="165" fontId="0" fillId="0" borderId="0" xfId="3" applyNumberFormat="1" applyFont="1"/>
    <xf numFmtId="0" fontId="6" fillId="0" borderId="0" xfId="0" applyFont="1"/>
    <xf numFmtId="0" fontId="7" fillId="0" borderId="0" xfId="0" applyFont="1"/>
    <xf numFmtId="9" fontId="0" fillId="0" borderId="0" xfId="2" applyFont="1"/>
    <xf numFmtId="14" fontId="0" fillId="3" borderId="0" xfId="0" applyNumberFormat="1" applyFill="1"/>
    <xf numFmtId="0" fontId="6" fillId="3" borderId="0" xfId="0" applyFont="1" applyFill="1"/>
    <xf numFmtId="44" fontId="0" fillId="3" borderId="0" xfId="0" applyNumberFormat="1" applyFill="1"/>
    <xf numFmtId="44" fontId="0" fillId="3" borderId="0" xfId="1" applyFont="1" applyFill="1"/>
    <xf numFmtId="9" fontId="0" fillId="0" borderId="0" xfId="0" applyNumberFormat="1"/>
    <xf numFmtId="9" fontId="8" fillId="0" borderId="0" xfId="0" applyNumberFormat="1" applyFont="1"/>
    <xf numFmtId="0" fontId="0" fillId="3" borderId="0" xfId="0" applyFill="1"/>
    <xf numFmtId="9" fontId="0" fillId="3" borderId="0" xfId="2" applyFont="1" applyFill="1"/>
    <xf numFmtId="9" fontId="8" fillId="3" borderId="0" xfId="0" applyNumberFormat="1" applyFont="1" applyFill="1"/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entre Sistemas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comparação!$G$6</c:f>
              <c:strCache>
                <c:ptCount val="1"/>
                <c:pt idx="0">
                  <c:v>SAC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comparação!$G$7:$G$54</c:f>
              <c:numCache>
                <c:formatCode>_("R$"* #,##0.00_);_("R$"* \(#,##0.00\);_("R$"* "-"??_);_(@_)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5380.5537809279995</c:v>
                </c:pt>
                <c:pt idx="7">
                  <c:v>5317.9892020799998</c:v>
                </c:pt>
                <c:pt idx="8">
                  <c:v>5255.4246232319992</c:v>
                </c:pt>
                <c:pt idx="9">
                  <c:v>5192.8600443839987</c:v>
                </c:pt>
                <c:pt idx="10">
                  <c:v>5130.295465535999</c:v>
                </c:pt>
                <c:pt idx="11">
                  <c:v>5067.7308866879985</c:v>
                </c:pt>
                <c:pt idx="12">
                  <c:v>5005.1663078399979</c:v>
                </c:pt>
                <c:pt idx="13">
                  <c:v>4942.6017289919982</c:v>
                </c:pt>
                <c:pt idx="14">
                  <c:v>4880.0371501439977</c:v>
                </c:pt>
                <c:pt idx="15">
                  <c:v>4817.4725712959971</c:v>
                </c:pt>
                <c:pt idx="16">
                  <c:v>4754.9079924479965</c:v>
                </c:pt>
                <c:pt idx="17">
                  <c:v>4692.3434135999969</c:v>
                </c:pt>
                <c:pt idx="18">
                  <c:v>4629.7788347519963</c:v>
                </c:pt>
                <c:pt idx="19">
                  <c:v>4567.2142559039967</c:v>
                </c:pt>
                <c:pt idx="20">
                  <c:v>4504.6496770559961</c:v>
                </c:pt>
                <c:pt idx="21">
                  <c:v>4442.0850982079955</c:v>
                </c:pt>
                <c:pt idx="22">
                  <c:v>4379.5205193599959</c:v>
                </c:pt>
                <c:pt idx="23">
                  <c:v>4316.9559405119962</c:v>
                </c:pt>
                <c:pt idx="24">
                  <c:v>4254.3913616639957</c:v>
                </c:pt>
                <c:pt idx="25">
                  <c:v>4191.826782815996</c:v>
                </c:pt>
                <c:pt idx="26">
                  <c:v>4129.2622039679954</c:v>
                </c:pt>
                <c:pt idx="27">
                  <c:v>4066.6976251199958</c:v>
                </c:pt>
                <c:pt idx="28">
                  <c:v>4004.1330462719961</c:v>
                </c:pt>
                <c:pt idx="29">
                  <c:v>3941.568467423996</c:v>
                </c:pt>
                <c:pt idx="30">
                  <c:v>3879.0038885759959</c:v>
                </c:pt>
                <c:pt idx="31">
                  <c:v>3816.4393097279963</c:v>
                </c:pt>
                <c:pt idx="32">
                  <c:v>3753.8747308799957</c:v>
                </c:pt>
                <c:pt idx="33">
                  <c:v>3691.310152031996</c:v>
                </c:pt>
                <c:pt idx="34">
                  <c:v>3628.7455731839959</c:v>
                </c:pt>
                <c:pt idx="35">
                  <c:v>3566.1809943359958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1-684B-B358-B9EA122D55EC}"/>
            </c:ext>
          </c:extLst>
        </c:ser>
        <c:ser>
          <c:idx val="1"/>
          <c:order val="1"/>
          <c:tx>
            <c:strRef>
              <c:f>comparação!$H$6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comparação!$H$7:$H$54</c:f>
              <c:numCache>
                <c:formatCode>_("R$"* #,##0.00_);_("R$"* \(#,##0.00\);_("R$"* "-"??_);_(@_)</c:formatCode>
                <c:ptCount val="48"/>
                <c:pt idx="0">
                  <c:v>2806.2473413900852</c:v>
                </c:pt>
                <c:pt idx="1">
                  <c:v>2806.2473413900861</c:v>
                </c:pt>
                <c:pt idx="2">
                  <c:v>2806.2473413900866</c:v>
                </c:pt>
                <c:pt idx="3">
                  <c:v>2806.2473413900875</c:v>
                </c:pt>
                <c:pt idx="4">
                  <c:v>2806.247341390088</c:v>
                </c:pt>
                <c:pt idx="5">
                  <c:v>2806.247341390088</c:v>
                </c:pt>
                <c:pt idx="6">
                  <c:v>2806.2473413900884</c:v>
                </c:pt>
                <c:pt idx="7">
                  <c:v>2806.2473413900884</c:v>
                </c:pt>
                <c:pt idx="8">
                  <c:v>2806.2473413900912</c:v>
                </c:pt>
                <c:pt idx="9">
                  <c:v>2806.2473413900912</c:v>
                </c:pt>
                <c:pt idx="10">
                  <c:v>2806.2473413900921</c:v>
                </c:pt>
                <c:pt idx="11">
                  <c:v>2806.2473413900939</c:v>
                </c:pt>
                <c:pt idx="12">
                  <c:v>2806.247341390093</c:v>
                </c:pt>
                <c:pt idx="13">
                  <c:v>2806.2473413900957</c:v>
                </c:pt>
                <c:pt idx="14">
                  <c:v>2806.2473413900957</c:v>
                </c:pt>
                <c:pt idx="15">
                  <c:v>2806.2473413900952</c:v>
                </c:pt>
                <c:pt idx="16">
                  <c:v>2806.2473413900962</c:v>
                </c:pt>
                <c:pt idx="17">
                  <c:v>2806.2473413900989</c:v>
                </c:pt>
                <c:pt idx="18">
                  <c:v>2806.2473413900998</c:v>
                </c:pt>
                <c:pt idx="19">
                  <c:v>2806.2473413901007</c:v>
                </c:pt>
                <c:pt idx="20">
                  <c:v>2806.2473413901016</c:v>
                </c:pt>
                <c:pt idx="21">
                  <c:v>2806.2473413901039</c:v>
                </c:pt>
                <c:pt idx="22">
                  <c:v>2806.2473413901057</c:v>
                </c:pt>
                <c:pt idx="23">
                  <c:v>2806.2473413901048</c:v>
                </c:pt>
                <c:pt idx="24">
                  <c:v>2806.2473413901089</c:v>
                </c:pt>
                <c:pt idx="25">
                  <c:v>2806.2473413901098</c:v>
                </c:pt>
                <c:pt idx="26">
                  <c:v>2806.2473413901148</c:v>
                </c:pt>
                <c:pt idx="27">
                  <c:v>2806.2473413901162</c:v>
                </c:pt>
                <c:pt idx="28">
                  <c:v>2806.247341390118</c:v>
                </c:pt>
                <c:pt idx="29">
                  <c:v>2806.2473413901253</c:v>
                </c:pt>
                <c:pt idx="30">
                  <c:v>2806.2473413901248</c:v>
                </c:pt>
                <c:pt idx="31">
                  <c:v>2806.247341390128</c:v>
                </c:pt>
                <c:pt idx="32">
                  <c:v>2806.2473413901353</c:v>
                </c:pt>
                <c:pt idx="33">
                  <c:v>2806.2473413901462</c:v>
                </c:pt>
                <c:pt idx="34">
                  <c:v>2806.2473413901589</c:v>
                </c:pt>
                <c:pt idx="35">
                  <c:v>2806.2473413901785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01-684B-B358-B9EA122D55EC}"/>
            </c:ext>
          </c:extLst>
        </c:ser>
        <c:ser>
          <c:idx val="2"/>
          <c:order val="2"/>
          <c:tx>
            <c:strRef>
              <c:f>comparação!$B$7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comparação!$B$8:$B$54</c:f>
              <c:numCache>
                <c:formatCode>General</c:formatCode>
                <c:ptCount val="4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01-684B-B358-B9EA122D5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255599"/>
        <c:axId val="390257311"/>
      </c:lineChart>
      <c:catAx>
        <c:axId val="390255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57311"/>
        <c:crosses val="autoZero"/>
        <c:auto val="1"/>
        <c:lblAlgn val="ctr"/>
        <c:lblOffset val="100"/>
        <c:noMultiLvlLbl val="0"/>
      </c:catAx>
      <c:valAx>
        <c:axId val="3902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5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10</xdr:row>
      <xdr:rowOff>139700</xdr:rowOff>
    </xdr:from>
    <xdr:to>
      <xdr:col>20</xdr:col>
      <xdr:colOff>711200</xdr:colOff>
      <xdr:row>27</xdr:row>
      <xdr:rowOff>190500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2C10C60-4BC5-FCFF-E776-151B61225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8C0D-48C4-0041-AF29-85C653B35D83}">
  <dimension ref="A1:HF86"/>
  <sheetViews>
    <sheetView zoomScale="150" zoomScaleNormal="150" workbookViewId="0">
      <pane xSplit="12" topLeftCell="M1" activePane="topRight" state="frozen"/>
      <selection pane="topRight" activeCell="B3" sqref="B3"/>
    </sheetView>
  </sheetViews>
  <sheetFormatPr baseColWidth="10" defaultColWidth="11" defaultRowHeight="15.75" customHeight="1"/>
  <cols>
    <col min="1" max="1" width="6.83203125" customWidth="1"/>
    <col min="2" max="2" width="17.5" bestFit="1" customWidth="1"/>
    <col min="3" max="3" width="5.1640625" customWidth="1"/>
    <col min="4" max="4" width="17.5" customWidth="1"/>
    <col min="5" max="6" width="9" bestFit="1" customWidth="1"/>
    <col min="7" max="7" width="7.33203125" style="1" customWidth="1"/>
    <col min="8" max="8" width="19.6640625" bestFit="1" customWidth="1"/>
    <col min="9" max="9" width="12.33203125" customWidth="1"/>
    <col min="10" max="10" width="14.33203125" style="1" customWidth="1"/>
    <col min="11" max="11" width="17.6640625" style="1" customWidth="1"/>
    <col min="12" max="12" width="17.83203125" style="1" customWidth="1"/>
    <col min="13" max="13" width="15.83203125" customWidth="1"/>
    <col min="14" max="55" width="13.1640625" bestFit="1" customWidth="1"/>
    <col min="56" max="60" width="12.1640625" bestFit="1" customWidth="1"/>
    <col min="61" max="61" width="12.83203125" bestFit="1" customWidth="1"/>
    <col min="62" max="77" width="12.1640625" bestFit="1" customWidth="1"/>
    <col min="78" max="128" width="11.5" bestFit="1" customWidth="1"/>
    <col min="176" max="176" width="12.83203125" customWidth="1"/>
    <col min="192" max="192" width="15.1640625" customWidth="1"/>
  </cols>
  <sheetData>
    <row r="1" spans="1:214">
      <c r="D1" s="1">
        <f>SUBTOTAL(9,D3:D11)</f>
        <v>80000</v>
      </c>
      <c r="F1" s="16">
        <f>SUM(F3:F10)</f>
        <v>48</v>
      </c>
      <c r="H1" s="1">
        <f>SUM(M1:HF1)</f>
        <v>109869.75999999997</v>
      </c>
      <c r="I1" s="1"/>
      <c r="J1" s="1">
        <f>SUM(J3:J10)</f>
        <v>2121.23</v>
      </c>
      <c r="K1" s="16">
        <f>SUM(K3:K10)</f>
        <v>42</v>
      </c>
      <c r="L1" s="1">
        <f>SUM(L3:L10)</f>
        <v>0</v>
      </c>
      <c r="M1" s="1">
        <f>SUBTOTAL(9,M3:M13)</f>
        <v>10171.950000000001</v>
      </c>
      <c r="N1" s="1">
        <f t="shared" ref="N1:BY1" si="0">SUBTOTAL(9,N3:N13)</f>
        <v>0</v>
      </c>
      <c r="O1" s="1">
        <f t="shared" si="0"/>
        <v>2121.23</v>
      </c>
      <c r="P1" s="1">
        <f t="shared" si="0"/>
        <v>2121.23</v>
      </c>
      <c r="Q1" s="1">
        <f t="shared" si="0"/>
        <v>2121.23</v>
      </c>
      <c r="R1" s="1">
        <f t="shared" si="0"/>
        <v>2121.23</v>
      </c>
      <c r="S1" s="1">
        <f t="shared" si="0"/>
        <v>2121.23</v>
      </c>
      <c r="T1" s="1">
        <f t="shared" si="0"/>
        <v>2121.23</v>
      </c>
      <c r="U1" s="1">
        <f t="shared" si="0"/>
        <v>2121.23</v>
      </c>
      <c r="V1" s="1">
        <f t="shared" si="0"/>
        <v>2121.23</v>
      </c>
      <c r="W1" s="1">
        <f t="shared" si="0"/>
        <v>2121.23</v>
      </c>
      <c r="X1" s="1">
        <f t="shared" si="0"/>
        <v>2121.23</v>
      </c>
      <c r="Y1" s="1">
        <f t="shared" si="0"/>
        <v>2121.23</v>
      </c>
      <c r="Z1" s="1">
        <f t="shared" si="0"/>
        <v>2121.23</v>
      </c>
      <c r="AA1" s="1">
        <f t="shared" si="0"/>
        <v>2121.23</v>
      </c>
      <c r="AB1" s="1">
        <f t="shared" si="0"/>
        <v>2121.23</v>
      </c>
      <c r="AC1" s="1">
        <f t="shared" si="0"/>
        <v>2121.23</v>
      </c>
      <c r="AD1" s="1">
        <f t="shared" si="0"/>
        <v>2121.23</v>
      </c>
      <c r="AE1" s="1">
        <f t="shared" si="0"/>
        <v>2121.23</v>
      </c>
      <c r="AF1" s="1">
        <f t="shared" si="0"/>
        <v>2121.23</v>
      </c>
      <c r="AG1" s="1">
        <f t="shared" si="0"/>
        <v>2121.23</v>
      </c>
      <c r="AH1" s="1">
        <f t="shared" si="0"/>
        <v>2121.23</v>
      </c>
      <c r="AI1" s="1">
        <f t="shared" si="0"/>
        <v>2121.23</v>
      </c>
      <c r="AJ1" s="1">
        <f t="shared" si="0"/>
        <v>2121.23</v>
      </c>
      <c r="AK1" s="1">
        <f t="shared" si="0"/>
        <v>2121.23</v>
      </c>
      <c r="AL1" s="1">
        <f t="shared" si="0"/>
        <v>2121.23</v>
      </c>
      <c r="AM1" s="1">
        <f t="shared" si="0"/>
        <v>2121.23</v>
      </c>
      <c r="AN1" s="1">
        <f t="shared" si="0"/>
        <v>2121.23</v>
      </c>
      <c r="AO1" s="1">
        <f t="shared" si="0"/>
        <v>2121.23</v>
      </c>
      <c r="AP1" s="1">
        <f t="shared" si="0"/>
        <v>2121.23</v>
      </c>
      <c r="AQ1" s="1">
        <f t="shared" si="0"/>
        <v>2121.23</v>
      </c>
      <c r="AR1" s="1">
        <f t="shared" si="0"/>
        <v>2121.23</v>
      </c>
      <c r="AS1" s="1">
        <f t="shared" si="0"/>
        <v>2121.23</v>
      </c>
      <c r="AT1" s="1">
        <f t="shared" si="0"/>
        <v>2121.23</v>
      </c>
      <c r="AU1" s="1">
        <f t="shared" si="0"/>
        <v>2121.23</v>
      </c>
      <c r="AV1" s="1">
        <f t="shared" si="0"/>
        <v>2121.23</v>
      </c>
      <c r="AW1" s="1">
        <f t="shared" si="0"/>
        <v>2121.23</v>
      </c>
      <c r="AX1" s="1">
        <f t="shared" si="0"/>
        <v>2121.23</v>
      </c>
      <c r="AY1" s="1">
        <f t="shared" si="0"/>
        <v>2121.23</v>
      </c>
      <c r="AZ1" s="1">
        <f t="shared" si="0"/>
        <v>2121.23</v>
      </c>
      <c r="BA1" s="1">
        <f t="shared" si="0"/>
        <v>2121.23</v>
      </c>
      <c r="BB1" s="1">
        <f t="shared" si="0"/>
        <v>2121.23</v>
      </c>
      <c r="BC1" s="1">
        <f t="shared" si="0"/>
        <v>2121.23</v>
      </c>
      <c r="BD1" s="1">
        <f t="shared" si="0"/>
        <v>2121.23</v>
      </c>
      <c r="BE1" s="1">
        <f t="shared" si="0"/>
        <v>2121.23</v>
      </c>
      <c r="BF1" s="1">
        <f t="shared" si="0"/>
        <v>2121.23</v>
      </c>
      <c r="BG1" s="1">
        <f t="shared" si="0"/>
        <v>2121.23</v>
      </c>
      <c r="BH1" s="1">
        <f t="shared" si="0"/>
        <v>2121.23</v>
      </c>
      <c r="BI1" s="1">
        <f t="shared" si="0"/>
        <v>2121.23</v>
      </c>
      <c r="BJ1" s="1">
        <f t="shared" si="0"/>
        <v>0</v>
      </c>
      <c r="BK1" s="1">
        <f t="shared" si="0"/>
        <v>0</v>
      </c>
      <c r="BL1" s="1">
        <f t="shared" si="0"/>
        <v>0</v>
      </c>
      <c r="BM1" s="1">
        <f t="shared" si="0"/>
        <v>0</v>
      </c>
      <c r="BN1" s="1">
        <f t="shared" si="0"/>
        <v>0</v>
      </c>
      <c r="BO1" s="1">
        <f t="shared" si="0"/>
        <v>0</v>
      </c>
      <c r="BP1" s="1">
        <f t="shared" si="0"/>
        <v>0</v>
      </c>
      <c r="BQ1" s="1">
        <f t="shared" si="0"/>
        <v>0</v>
      </c>
      <c r="BR1" s="1">
        <f t="shared" si="0"/>
        <v>0</v>
      </c>
      <c r="BS1" s="1">
        <f t="shared" si="0"/>
        <v>0</v>
      </c>
      <c r="BT1" s="1">
        <f t="shared" si="0"/>
        <v>0</v>
      </c>
      <c r="BU1" s="1">
        <f t="shared" si="0"/>
        <v>0</v>
      </c>
      <c r="BV1" s="1">
        <f t="shared" si="0"/>
        <v>0</v>
      </c>
      <c r="BW1" s="1">
        <f t="shared" si="0"/>
        <v>0</v>
      </c>
      <c r="BX1" s="1">
        <f t="shared" si="0"/>
        <v>0</v>
      </c>
      <c r="BY1" s="1">
        <f t="shared" si="0"/>
        <v>0</v>
      </c>
      <c r="BZ1" s="1">
        <f t="shared" ref="BZ1:EK1" si="1">SUBTOTAL(9,BZ3:BZ13)</f>
        <v>0</v>
      </c>
      <c r="CA1" s="1">
        <f t="shared" si="1"/>
        <v>0</v>
      </c>
      <c r="CB1" s="1">
        <f t="shared" si="1"/>
        <v>0</v>
      </c>
      <c r="CC1" s="1">
        <f t="shared" si="1"/>
        <v>0</v>
      </c>
      <c r="CD1" s="1">
        <f t="shared" si="1"/>
        <v>0</v>
      </c>
      <c r="CE1" s="1">
        <f t="shared" si="1"/>
        <v>0</v>
      </c>
      <c r="CF1" s="1">
        <f t="shared" si="1"/>
        <v>0</v>
      </c>
      <c r="CG1" s="1">
        <f t="shared" si="1"/>
        <v>0</v>
      </c>
      <c r="CH1" s="1">
        <f t="shared" si="1"/>
        <v>0</v>
      </c>
      <c r="CI1" s="1">
        <f t="shared" si="1"/>
        <v>0</v>
      </c>
      <c r="CJ1" s="1">
        <f t="shared" si="1"/>
        <v>0</v>
      </c>
      <c r="CK1" s="1">
        <f t="shared" si="1"/>
        <v>0</v>
      </c>
      <c r="CL1" s="1">
        <f t="shared" si="1"/>
        <v>0</v>
      </c>
      <c r="CM1" s="1">
        <f t="shared" si="1"/>
        <v>0</v>
      </c>
      <c r="CN1" s="1">
        <f t="shared" si="1"/>
        <v>0</v>
      </c>
      <c r="CO1" s="1">
        <f t="shared" si="1"/>
        <v>0</v>
      </c>
      <c r="CP1" s="1">
        <f t="shared" si="1"/>
        <v>0</v>
      </c>
      <c r="CQ1" s="1">
        <f t="shared" si="1"/>
        <v>0</v>
      </c>
      <c r="CR1" s="1">
        <f t="shared" si="1"/>
        <v>0</v>
      </c>
      <c r="CS1" s="1">
        <f t="shared" si="1"/>
        <v>0</v>
      </c>
      <c r="CT1" s="1">
        <f t="shared" si="1"/>
        <v>0</v>
      </c>
      <c r="CU1" s="1">
        <f t="shared" si="1"/>
        <v>0</v>
      </c>
      <c r="CV1" s="1">
        <f t="shared" si="1"/>
        <v>0</v>
      </c>
      <c r="CW1" s="1">
        <f t="shared" si="1"/>
        <v>0</v>
      </c>
      <c r="CX1" s="1">
        <f t="shared" si="1"/>
        <v>0</v>
      </c>
      <c r="CY1" s="1">
        <f t="shared" si="1"/>
        <v>0</v>
      </c>
      <c r="CZ1" s="1">
        <f t="shared" si="1"/>
        <v>0</v>
      </c>
      <c r="DA1" s="1">
        <f t="shared" si="1"/>
        <v>0</v>
      </c>
      <c r="DB1" s="1">
        <f t="shared" si="1"/>
        <v>0</v>
      </c>
      <c r="DC1" s="1">
        <f t="shared" si="1"/>
        <v>0</v>
      </c>
      <c r="DD1" s="1">
        <f t="shared" si="1"/>
        <v>0</v>
      </c>
      <c r="DE1" s="1">
        <f t="shared" si="1"/>
        <v>0</v>
      </c>
      <c r="DF1" s="1">
        <f t="shared" si="1"/>
        <v>0</v>
      </c>
      <c r="DG1" s="1">
        <f t="shared" si="1"/>
        <v>0</v>
      </c>
      <c r="DH1" s="1">
        <f t="shared" si="1"/>
        <v>0</v>
      </c>
      <c r="DI1" s="1">
        <f t="shared" si="1"/>
        <v>0</v>
      </c>
      <c r="DJ1" s="1">
        <f t="shared" si="1"/>
        <v>0</v>
      </c>
      <c r="DK1" s="1">
        <f t="shared" si="1"/>
        <v>0</v>
      </c>
      <c r="DL1" s="1">
        <f t="shared" si="1"/>
        <v>0</v>
      </c>
      <c r="DM1" s="1">
        <f t="shared" si="1"/>
        <v>0</v>
      </c>
      <c r="DN1" s="1">
        <f t="shared" si="1"/>
        <v>0</v>
      </c>
      <c r="DO1" s="1">
        <f t="shared" si="1"/>
        <v>0</v>
      </c>
      <c r="DP1" s="1">
        <f t="shared" si="1"/>
        <v>0</v>
      </c>
      <c r="DQ1" s="1">
        <f t="shared" si="1"/>
        <v>0</v>
      </c>
      <c r="DR1" s="1">
        <f t="shared" si="1"/>
        <v>0</v>
      </c>
      <c r="DS1" s="1">
        <f t="shared" si="1"/>
        <v>0</v>
      </c>
      <c r="DT1" s="1">
        <f t="shared" si="1"/>
        <v>0</v>
      </c>
      <c r="DU1" s="1">
        <f t="shared" si="1"/>
        <v>0</v>
      </c>
      <c r="DV1" s="1">
        <f t="shared" si="1"/>
        <v>0</v>
      </c>
      <c r="DW1" s="1">
        <f t="shared" si="1"/>
        <v>0</v>
      </c>
      <c r="DX1" s="1">
        <f t="shared" si="1"/>
        <v>0</v>
      </c>
      <c r="DY1" s="1">
        <f t="shared" si="1"/>
        <v>0</v>
      </c>
      <c r="DZ1" s="1">
        <f t="shared" si="1"/>
        <v>0</v>
      </c>
      <c r="EA1" s="1">
        <f t="shared" si="1"/>
        <v>0</v>
      </c>
      <c r="EB1" s="1">
        <f t="shared" si="1"/>
        <v>0</v>
      </c>
      <c r="EC1" s="1">
        <f t="shared" si="1"/>
        <v>0</v>
      </c>
      <c r="ED1" s="1">
        <f t="shared" si="1"/>
        <v>0</v>
      </c>
      <c r="EE1" s="1">
        <f t="shared" si="1"/>
        <v>0</v>
      </c>
      <c r="EF1" s="1">
        <f t="shared" si="1"/>
        <v>0</v>
      </c>
      <c r="EG1" s="1">
        <f t="shared" si="1"/>
        <v>0</v>
      </c>
      <c r="EH1" s="1">
        <f t="shared" si="1"/>
        <v>0</v>
      </c>
      <c r="EI1" s="1">
        <f t="shared" si="1"/>
        <v>0</v>
      </c>
      <c r="EJ1" s="1">
        <f t="shared" si="1"/>
        <v>0</v>
      </c>
      <c r="EK1" s="1">
        <f t="shared" si="1"/>
        <v>0</v>
      </c>
      <c r="EL1" s="1">
        <f t="shared" ref="EL1:GW1" si="2">SUBTOTAL(9,EL3:EL13)</f>
        <v>0</v>
      </c>
      <c r="EM1" s="1">
        <f t="shared" si="2"/>
        <v>0</v>
      </c>
      <c r="EN1" s="1">
        <f t="shared" si="2"/>
        <v>0</v>
      </c>
      <c r="EO1" s="1">
        <f t="shared" si="2"/>
        <v>0</v>
      </c>
      <c r="EP1" s="1">
        <f t="shared" si="2"/>
        <v>0</v>
      </c>
      <c r="EQ1" s="1">
        <f t="shared" si="2"/>
        <v>0</v>
      </c>
      <c r="ER1" s="1">
        <f t="shared" si="2"/>
        <v>0</v>
      </c>
      <c r="ES1" s="1">
        <f t="shared" si="2"/>
        <v>0</v>
      </c>
      <c r="ET1" s="1">
        <f t="shared" si="2"/>
        <v>0</v>
      </c>
      <c r="EU1" s="1">
        <f t="shared" si="2"/>
        <v>0</v>
      </c>
      <c r="EV1" s="1">
        <f t="shared" si="2"/>
        <v>0</v>
      </c>
      <c r="EW1" s="1">
        <f t="shared" si="2"/>
        <v>0</v>
      </c>
      <c r="EX1" s="1">
        <f t="shared" si="2"/>
        <v>0</v>
      </c>
      <c r="EY1" s="1">
        <f t="shared" si="2"/>
        <v>0</v>
      </c>
      <c r="EZ1" s="1">
        <f t="shared" si="2"/>
        <v>0</v>
      </c>
      <c r="FA1" s="1">
        <f t="shared" si="2"/>
        <v>0</v>
      </c>
      <c r="FB1" s="1">
        <f t="shared" si="2"/>
        <v>0</v>
      </c>
      <c r="FC1" s="1">
        <f t="shared" si="2"/>
        <v>0</v>
      </c>
      <c r="FD1" s="1">
        <f t="shared" si="2"/>
        <v>0</v>
      </c>
      <c r="FE1" s="1">
        <f t="shared" si="2"/>
        <v>0</v>
      </c>
      <c r="FF1" s="1">
        <f t="shared" si="2"/>
        <v>0</v>
      </c>
      <c r="FG1" s="1">
        <f t="shared" si="2"/>
        <v>0</v>
      </c>
      <c r="FH1" s="1">
        <f t="shared" si="2"/>
        <v>0</v>
      </c>
      <c r="FI1" s="1">
        <f t="shared" si="2"/>
        <v>0</v>
      </c>
      <c r="FJ1" s="1">
        <f t="shared" si="2"/>
        <v>0</v>
      </c>
      <c r="FK1" s="1">
        <f t="shared" si="2"/>
        <v>0</v>
      </c>
      <c r="FL1" s="1">
        <f t="shared" si="2"/>
        <v>0</v>
      </c>
      <c r="FM1" s="1">
        <f t="shared" si="2"/>
        <v>0</v>
      </c>
      <c r="FN1" s="1">
        <f t="shared" si="2"/>
        <v>0</v>
      </c>
      <c r="FO1" s="1">
        <f t="shared" si="2"/>
        <v>0</v>
      </c>
      <c r="FP1" s="1">
        <f t="shared" si="2"/>
        <v>0</v>
      </c>
      <c r="FQ1" s="1">
        <f t="shared" si="2"/>
        <v>0</v>
      </c>
      <c r="FR1" s="1">
        <f t="shared" si="2"/>
        <v>0</v>
      </c>
      <c r="FS1" s="1">
        <f t="shared" si="2"/>
        <v>0</v>
      </c>
      <c r="FT1" s="1">
        <f t="shared" si="2"/>
        <v>0</v>
      </c>
      <c r="FU1" s="1">
        <f t="shared" si="2"/>
        <v>0</v>
      </c>
      <c r="FV1" s="1">
        <f t="shared" si="2"/>
        <v>0</v>
      </c>
      <c r="FW1" s="1">
        <f t="shared" si="2"/>
        <v>0</v>
      </c>
      <c r="FX1" s="1">
        <f t="shared" si="2"/>
        <v>0</v>
      </c>
      <c r="FY1" s="1">
        <f t="shared" si="2"/>
        <v>0</v>
      </c>
      <c r="FZ1" s="1">
        <f t="shared" si="2"/>
        <v>0</v>
      </c>
      <c r="GA1" s="1">
        <f t="shared" si="2"/>
        <v>0</v>
      </c>
      <c r="GB1" s="1">
        <f t="shared" si="2"/>
        <v>0</v>
      </c>
      <c r="GC1" s="1">
        <f t="shared" si="2"/>
        <v>0</v>
      </c>
      <c r="GD1" s="1">
        <f t="shared" si="2"/>
        <v>0</v>
      </c>
      <c r="GE1" s="1">
        <f t="shared" si="2"/>
        <v>0</v>
      </c>
      <c r="GF1" s="1">
        <f t="shared" si="2"/>
        <v>0</v>
      </c>
      <c r="GG1" s="1">
        <f t="shared" si="2"/>
        <v>0</v>
      </c>
      <c r="GH1" s="1">
        <f t="shared" si="2"/>
        <v>0</v>
      </c>
      <c r="GI1" s="1">
        <f t="shared" si="2"/>
        <v>0</v>
      </c>
      <c r="GJ1" s="1">
        <f t="shared" si="2"/>
        <v>0</v>
      </c>
      <c r="GK1" s="1">
        <f t="shared" si="2"/>
        <v>0</v>
      </c>
      <c r="GL1" s="1">
        <f t="shared" si="2"/>
        <v>0</v>
      </c>
      <c r="GM1" s="1">
        <f t="shared" si="2"/>
        <v>0</v>
      </c>
      <c r="GN1" s="1">
        <f t="shared" si="2"/>
        <v>0</v>
      </c>
      <c r="GO1" s="1">
        <f t="shared" si="2"/>
        <v>0</v>
      </c>
      <c r="GP1" s="1">
        <f t="shared" si="2"/>
        <v>0</v>
      </c>
      <c r="GQ1" s="1">
        <f t="shared" si="2"/>
        <v>0</v>
      </c>
      <c r="GR1" s="1">
        <f t="shared" si="2"/>
        <v>0</v>
      </c>
      <c r="GS1" s="1">
        <f t="shared" si="2"/>
        <v>0</v>
      </c>
      <c r="GT1" s="1">
        <f t="shared" si="2"/>
        <v>0</v>
      </c>
      <c r="GU1" s="1">
        <f t="shared" si="2"/>
        <v>0</v>
      </c>
      <c r="GV1" s="1">
        <f t="shared" si="2"/>
        <v>0</v>
      </c>
      <c r="GW1" s="1">
        <f t="shared" si="2"/>
        <v>0</v>
      </c>
      <c r="GX1" s="1">
        <f t="shared" ref="GX1:HF1" si="3">SUBTOTAL(9,GX3:GX13)</f>
        <v>0</v>
      </c>
      <c r="GY1" s="1">
        <f t="shared" si="3"/>
        <v>0</v>
      </c>
      <c r="GZ1" s="1">
        <f t="shared" si="3"/>
        <v>0</v>
      </c>
      <c r="HA1" s="1">
        <f t="shared" si="3"/>
        <v>0</v>
      </c>
      <c r="HB1" s="1">
        <f t="shared" si="3"/>
        <v>0</v>
      </c>
      <c r="HC1" s="1">
        <f t="shared" si="3"/>
        <v>0</v>
      </c>
      <c r="HD1" s="1">
        <f t="shared" si="3"/>
        <v>0</v>
      </c>
      <c r="HE1" s="1">
        <f t="shared" si="3"/>
        <v>0</v>
      </c>
      <c r="HF1" s="1">
        <f t="shared" si="3"/>
        <v>0</v>
      </c>
    </row>
    <row r="2" spans="1:214" s="5" customFormat="1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4" t="s">
        <v>6</v>
      </c>
      <c r="H2" s="13" t="s">
        <v>7</v>
      </c>
      <c r="I2" s="13" t="s">
        <v>8</v>
      </c>
      <c r="J2" s="6" t="s">
        <v>9</v>
      </c>
      <c r="K2" s="6" t="s">
        <v>10</v>
      </c>
      <c r="L2" s="6" t="s">
        <v>11</v>
      </c>
      <c r="M2" s="7">
        <v>45434</v>
      </c>
      <c r="N2" s="7">
        <v>45465</v>
      </c>
      <c r="O2" s="7">
        <v>45495</v>
      </c>
      <c r="P2" s="7">
        <v>45526</v>
      </c>
      <c r="Q2" s="7">
        <v>45557</v>
      </c>
      <c r="R2" s="7">
        <v>45587</v>
      </c>
      <c r="S2" s="7">
        <v>45618</v>
      </c>
      <c r="T2" s="7">
        <v>45648</v>
      </c>
      <c r="U2" s="7">
        <v>45679</v>
      </c>
      <c r="V2" s="7">
        <v>45710</v>
      </c>
      <c r="W2" s="7">
        <v>45738</v>
      </c>
      <c r="X2" s="7">
        <v>45769</v>
      </c>
      <c r="Y2" s="7">
        <v>45799</v>
      </c>
      <c r="Z2" s="7">
        <v>45830</v>
      </c>
      <c r="AA2" s="7">
        <v>45860</v>
      </c>
      <c r="AB2" s="7">
        <v>45891</v>
      </c>
      <c r="AC2" s="7">
        <v>45922</v>
      </c>
      <c r="AD2" s="7">
        <v>45952</v>
      </c>
      <c r="AE2" s="7">
        <v>45983</v>
      </c>
      <c r="AF2" s="7">
        <v>46013</v>
      </c>
      <c r="AG2" s="7">
        <v>46044</v>
      </c>
      <c r="AH2" s="7">
        <v>46075</v>
      </c>
      <c r="AI2" s="7">
        <v>46103</v>
      </c>
      <c r="AJ2" s="7">
        <v>46134</v>
      </c>
      <c r="AK2" s="7">
        <v>46164</v>
      </c>
      <c r="AL2" s="7">
        <v>46195</v>
      </c>
      <c r="AM2" s="7">
        <v>46225</v>
      </c>
      <c r="AN2" s="7">
        <v>46256</v>
      </c>
      <c r="AO2" s="7">
        <v>46287</v>
      </c>
      <c r="AP2" s="7">
        <v>46317</v>
      </c>
      <c r="AQ2" s="7">
        <v>46348</v>
      </c>
      <c r="AR2" s="7">
        <v>46378</v>
      </c>
      <c r="AS2" s="7">
        <v>46409</v>
      </c>
      <c r="AT2" s="7">
        <v>46440</v>
      </c>
      <c r="AU2" s="7">
        <v>46468</v>
      </c>
      <c r="AV2" s="7">
        <v>46499</v>
      </c>
      <c r="AW2" s="7">
        <v>46529</v>
      </c>
      <c r="AX2" s="7">
        <v>46560</v>
      </c>
      <c r="AY2" s="7">
        <v>46590</v>
      </c>
      <c r="AZ2" s="7">
        <v>46621</v>
      </c>
      <c r="BA2" s="7">
        <v>46652</v>
      </c>
      <c r="BB2" s="7">
        <v>46682</v>
      </c>
      <c r="BC2" s="7">
        <v>46713</v>
      </c>
      <c r="BD2" s="7">
        <v>46743</v>
      </c>
      <c r="BE2" s="7">
        <v>46774</v>
      </c>
      <c r="BF2" s="7">
        <v>46805</v>
      </c>
      <c r="BG2" s="7">
        <v>46834</v>
      </c>
      <c r="BH2" s="7">
        <v>46865</v>
      </c>
      <c r="BI2" s="7">
        <v>46902</v>
      </c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</row>
    <row r="3" spans="1:214">
      <c r="A3" t="s">
        <v>12</v>
      </c>
      <c r="B3" s="4" t="s">
        <v>13</v>
      </c>
      <c r="C3" s="4" t="s">
        <v>14</v>
      </c>
      <c r="D3" s="1">
        <v>80000</v>
      </c>
      <c r="E3" s="9" t="s">
        <v>15</v>
      </c>
      <c r="F3" s="2">
        <v>48</v>
      </c>
      <c r="G3" s="10">
        <f>D3/$D$1</f>
        <v>1</v>
      </c>
      <c r="H3" s="8">
        <v>45533</v>
      </c>
      <c r="I3" s="8">
        <v>46902</v>
      </c>
      <c r="J3" s="1">
        <v>2121.23</v>
      </c>
      <c r="K3" s="16">
        <v>42</v>
      </c>
      <c r="M3" s="1">
        <v>10171.950000000001</v>
      </c>
      <c r="N3" s="1"/>
      <c r="O3" s="1">
        <v>2121.23</v>
      </c>
      <c r="P3" s="1">
        <v>2121.23</v>
      </c>
      <c r="Q3" s="1">
        <v>2121.23</v>
      </c>
      <c r="R3" s="1">
        <v>2121.23</v>
      </c>
      <c r="S3" s="1">
        <v>2121.23</v>
      </c>
      <c r="T3" s="1">
        <v>2121.23</v>
      </c>
      <c r="U3" s="1">
        <v>2121.23</v>
      </c>
      <c r="V3" s="1">
        <v>2121.23</v>
      </c>
      <c r="W3" s="1">
        <v>2121.23</v>
      </c>
      <c r="X3" s="1">
        <v>2121.23</v>
      </c>
      <c r="Y3" s="1">
        <v>2121.23</v>
      </c>
      <c r="Z3" s="1">
        <v>2121.23</v>
      </c>
      <c r="AA3" s="1">
        <v>2121.23</v>
      </c>
      <c r="AB3" s="1">
        <v>2121.23</v>
      </c>
      <c r="AC3" s="1">
        <v>2121.23</v>
      </c>
      <c r="AD3" s="1">
        <v>2121.23</v>
      </c>
      <c r="AE3" s="1">
        <v>2121.23</v>
      </c>
      <c r="AF3" s="1">
        <v>2121.23</v>
      </c>
      <c r="AG3" s="1">
        <v>2121.23</v>
      </c>
      <c r="AH3" s="1">
        <v>2121.23</v>
      </c>
      <c r="AI3" s="1">
        <v>2121.23</v>
      </c>
      <c r="AJ3" s="1">
        <v>2121.23</v>
      </c>
      <c r="AK3" s="1">
        <v>2121.23</v>
      </c>
      <c r="AL3" s="1">
        <v>2121.23</v>
      </c>
      <c r="AM3" s="1">
        <v>2121.23</v>
      </c>
      <c r="AN3" s="1">
        <v>2121.23</v>
      </c>
      <c r="AO3" s="1">
        <v>2121.23</v>
      </c>
      <c r="AP3" s="1">
        <v>2121.23</v>
      </c>
      <c r="AQ3" s="1">
        <v>2121.23</v>
      </c>
      <c r="AR3" s="1">
        <v>2121.23</v>
      </c>
      <c r="AS3" s="1">
        <v>2121.23</v>
      </c>
      <c r="AT3" s="1">
        <v>2121.23</v>
      </c>
      <c r="AU3" s="1">
        <v>2121.23</v>
      </c>
      <c r="AV3" s="1">
        <v>2121.23</v>
      </c>
      <c r="AW3" s="1">
        <v>2121.23</v>
      </c>
      <c r="AX3" s="1">
        <v>2121.23</v>
      </c>
      <c r="AY3" s="1">
        <v>2121.23</v>
      </c>
      <c r="AZ3" s="1">
        <v>2121.23</v>
      </c>
      <c r="BA3" s="1">
        <v>2121.23</v>
      </c>
      <c r="BB3" s="1">
        <v>2121.23</v>
      </c>
      <c r="BC3" s="1">
        <v>2121.23</v>
      </c>
      <c r="BD3" s="1">
        <v>2121.23</v>
      </c>
      <c r="BE3" s="1">
        <v>2121.23</v>
      </c>
      <c r="BF3" s="1">
        <v>2121.23</v>
      </c>
      <c r="BG3" s="1">
        <v>2121.23</v>
      </c>
      <c r="BH3" s="1">
        <v>2121.23</v>
      </c>
      <c r="BI3" s="1">
        <v>2121.23</v>
      </c>
      <c r="BJ3" s="1"/>
      <c r="BK3" s="1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</row>
    <row r="4" spans="1:214">
      <c r="B4" s="4"/>
      <c r="C4" s="4"/>
      <c r="D4" s="3"/>
      <c r="E4" s="9"/>
      <c r="F4" s="2"/>
      <c r="H4" s="8"/>
      <c r="I4" s="8"/>
      <c r="K4" s="1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</row>
    <row r="5" spans="1:214">
      <c r="B5" s="4"/>
      <c r="C5" s="4"/>
      <c r="D5" s="1"/>
      <c r="E5" s="9"/>
      <c r="F5" s="2"/>
      <c r="H5" s="8"/>
      <c r="I5" s="8"/>
      <c r="K5" s="16"/>
      <c r="M5" s="12"/>
      <c r="N5" s="12"/>
      <c r="O5" s="3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1"/>
    </row>
    <row r="6" spans="1:214">
      <c r="B6" s="4"/>
      <c r="C6" s="4"/>
      <c r="D6" s="1"/>
      <c r="E6" s="9"/>
      <c r="F6" s="2"/>
      <c r="H6" s="8"/>
      <c r="I6" s="8"/>
      <c r="K6" s="1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</row>
    <row r="7" spans="1:214">
      <c r="B7" s="4"/>
      <c r="C7" s="4"/>
      <c r="D7" s="1"/>
      <c r="E7" s="9"/>
      <c r="F7" s="2"/>
      <c r="H7" s="8"/>
      <c r="I7" s="8"/>
      <c r="K7" s="1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</row>
    <row r="8" spans="1:214">
      <c r="B8" s="4"/>
      <c r="C8" s="4"/>
      <c r="D8" s="1"/>
      <c r="E8" s="9"/>
      <c r="F8" s="2"/>
      <c r="H8" s="8"/>
      <c r="I8" s="8"/>
      <c r="K8" s="1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</row>
    <row r="9" spans="1:214">
      <c r="B9" s="4"/>
      <c r="C9" s="4"/>
      <c r="D9" s="1"/>
      <c r="E9" s="9"/>
      <c r="F9" s="2"/>
      <c r="H9" s="8"/>
      <c r="I9" s="8"/>
      <c r="K9" s="1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14">
      <c r="B10" s="4"/>
      <c r="C10" s="4"/>
      <c r="D10" s="3"/>
      <c r="E10" s="9"/>
      <c r="F10" s="2"/>
      <c r="H10" s="8"/>
      <c r="I10" s="8"/>
      <c r="K10" s="1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214">
      <c r="B11" s="4"/>
      <c r="C11" s="4"/>
      <c r="D11" s="3"/>
      <c r="E11" s="9"/>
      <c r="F11" s="2"/>
      <c r="H11" s="8"/>
      <c r="I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214"/>
    <row r="13" spans="1:214"/>
    <row r="14" spans="1:214">
      <c r="H14" s="15"/>
      <c r="I14" s="16"/>
    </row>
    <row r="15" spans="1:214">
      <c r="H15" s="15"/>
      <c r="I15" s="16"/>
    </row>
    <row r="16" spans="1:214">
      <c r="G16" s="16"/>
      <c r="H16" s="15"/>
      <c r="I16" s="16"/>
    </row>
    <row r="17" spans="7:9">
      <c r="G17" s="16"/>
      <c r="H17" s="15"/>
      <c r="I17" s="16"/>
    </row>
    <row r="18" spans="7:9">
      <c r="G18" s="16"/>
      <c r="H18" s="15"/>
      <c r="I18" s="16"/>
    </row>
    <row r="19" spans="7:9">
      <c r="G19" s="16"/>
      <c r="H19" s="15"/>
      <c r="I19" s="16"/>
    </row>
    <row r="20" spans="7:9">
      <c r="G20" s="16"/>
      <c r="H20" s="15"/>
      <c r="I20" s="16"/>
    </row>
    <row r="21" spans="7:9">
      <c r="G21" s="16"/>
      <c r="H21" s="15"/>
      <c r="I21" s="16"/>
    </row>
    <row r="22" spans="7:9">
      <c r="H22" s="15"/>
      <c r="I22" s="16"/>
    </row>
    <row r="23" spans="7:9">
      <c r="G23" s="16"/>
      <c r="H23" s="15"/>
      <c r="I23" s="16"/>
    </row>
    <row r="24" spans="7:9">
      <c r="G24" s="16"/>
      <c r="H24" s="15"/>
      <c r="I24" s="16"/>
    </row>
    <row r="25" spans="7:9">
      <c r="G25" s="16"/>
      <c r="H25" s="15"/>
      <c r="I25" s="16"/>
    </row>
    <row r="26" spans="7:9">
      <c r="G26" s="16"/>
      <c r="H26" s="15"/>
      <c r="I26" s="16"/>
    </row>
    <row r="27" spans="7:9">
      <c r="G27" s="16"/>
      <c r="H27" s="15"/>
      <c r="I27" s="16"/>
    </row>
    <row r="28" spans="7:9">
      <c r="H28" s="15"/>
      <c r="I28" s="16"/>
    </row>
    <row r="29" spans="7:9">
      <c r="H29" s="15"/>
      <c r="I29" s="16"/>
    </row>
    <row r="30" spans="7:9">
      <c r="H30" s="15"/>
      <c r="I30" s="16"/>
    </row>
    <row r="31" spans="7:9">
      <c r="H31" s="15"/>
      <c r="I31" s="16"/>
    </row>
    <row r="32" spans="7:9">
      <c r="H32" s="15"/>
      <c r="I32" s="16"/>
    </row>
    <row r="33" spans="8:9">
      <c r="H33" s="15"/>
      <c r="I33" s="16"/>
    </row>
    <row r="34" spans="8:9">
      <c r="H34" s="15"/>
      <c r="I34" s="16"/>
    </row>
    <row r="35" spans="8:9">
      <c r="H35" s="15"/>
      <c r="I35" s="16"/>
    </row>
    <row r="36" spans="8:9">
      <c r="H36" s="15"/>
      <c r="I36" s="16"/>
    </row>
    <row r="37" spans="8:9">
      <c r="H37" s="15"/>
      <c r="I37" s="16"/>
    </row>
    <row r="38" spans="8:9">
      <c r="H38" s="15"/>
      <c r="I38" s="16"/>
    </row>
    <row r="39" spans="8:9">
      <c r="H39" s="15"/>
      <c r="I39" s="16"/>
    </row>
    <row r="40" spans="8:9">
      <c r="H40" s="15"/>
      <c r="I40" s="16"/>
    </row>
    <row r="41" spans="8:9">
      <c r="H41" s="15"/>
      <c r="I41" s="16"/>
    </row>
    <row r="42" spans="8:9">
      <c r="H42" s="15"/>
      <c r="I42" s="16"/>
    </row>
    <row r="43" spans="8:9">
      <c r="H43" s="15"/>
      <c r="I43" s="16"/>
    </row>
    <row r="44" spans="8:9">
      <c r="H44" s="15"/>
      <c r="I44" s="16"/>
    </row>
    <row r="45" spans="8:9">
      <c r="H45" s="15"/>
      <c r="I45" s="16"/>
    </row>
    <row r="46" spans="8:9">
      <c r="H46" s="15"/>
      <c r="I46" s="16"/>
    </row>
    <row r="47" spans="8:9">
      <c r="H47" s="15"/>
      <c r="I47" s="16"/>
    </row>
    <row r="48" spans="8:9">
      <c r="H48" s="15"/>
      <c r="I48" s="16"/>
    </row>
    <row r="49" spans="8:9">
      <c r="H49" s="15"/>
      <c r="I49" s="16"/>
    </row>
    <row r="50" spans="8:9">
      <c r="H50" s="15"/>
      <c r="I50" s="16"/>
    </row>
    <row r="51" spans="8:9">
      <c r="H51" s="15"/>
      <c r="I51" s="16"/>
    </row>
    <row r="52" spans="8:9">
      <c r="H52" s="15"/>
      <c r="I52" s="16"/>
    </row>
    <row r="53" spans="8:9">
      <c r="H53" s="15"/>
      <c r="I53" s="16"/>
    </row>
    <row r="54" spans="8:9">
      <c r="H54" s="15"/>
      <c r="I54" s="16"/>
    </row>
    <row r="55" spans="8:9">
      <c r="H55" s="15"/>
      <c r="I55" s="16"/>
    </row>
    <row r="56" spans="8:9">
      <c r="H56" s="15"/>
      <c r="I56" s="16"/>
    </row>
    <row r="57" spans="8:9">
      <c r="H57" s="15"/>
      <c r="I57" s="16"/>
    </row>
    <row r="58" spans="8:9">
      <c r="H58" s="15"/>
      <c r="I58" s="16"/>
    </row>
    <row r="59" spans="8:9">
      <c r="H59" s="15"/>
      <c r="I59" s="16"/>
    </row>
    <row r="60" spans="8:9">
      <c r="H60" s="15"/>
      <c r="I60" s="16"/>
    </row>
    <row r="61" spans="8:9">
      <c r="H61" s="15"/>
      <c r="I61" s="16"/>
    </row>
    <row r="62" spans="8:9">
      <c r="H62" s="15"/>
      <c r="I62" s="16"/>
    </row>
    <row r="63" spans="8:9">
      <c r="H63" s="15"/>
      <c r="I63" s="16"/>
    </row>
    <row r="64" spans="8:9">
      <c r="H64" s="15"/>
      <c r="I64" s="16"/>
    </row>
    <row r="65" spans="8:9">
      <c r="H65" s="15"/>
      <c r="I65" s="16"/>
    </row>
    <row r="66" spans="8:9">
      <c r="H66" s="15"/>
      <c r="I66" s="16"/>
    </row>
    <row r="67" spans="8:9">
      <c r="H67" s="15"/>
      <c r="I67" s="16"/>
    </row>
    <row r="68" spans="8:9">
      <c r="H68" s="15"/>
      <c r="I68" s="16"/>
    </row>
    <row r="69" spans="8:9">
      <c r="H69" s="15"/>
      <c r="I69" s="16"/>
    </row>
    <row r="70" spans="8:9">
      <c r="H70" s="15"/>
      <c r="I70" s="16"/>
    </row>
    <row r="71" spans="8:9">
      <c r="H71" s="15"/>
      <c r="I71" s="16"/>
    </row>
    <row r="72" spans="8:9">
      <c r="H72" s="15"/>
      <c r="I72" s="16"/>
    </row>
    <row r="73" spans="8:9">
      <c r="H73" s="15"/>
      <c r="I73" s="16"/>
    </row>
    <row r="74" spans="8:9"/>
    <row r="75" spans="8:9"/>
    <row r="76" spans="8:9"/>
    <row r="77" spans="8:9"/>
    <row r="78" spans="8:9"/>
    <row r="79" spans="8:9"/>
    <row r="80" spans="8:9"/>
    <row r="81"/>
    <row r="82"/>
    <row r="83"/>
    <row r="84"/>
    <row r="85"/>
    <row r="86"/>
  </sheetData>
  <autoFilter ref="A2:HF10" xr:uid="{FDFF8C0D-48C4-0041-AF29-85C653B35D8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E6E6-8668-BF43-A283-B1FB7CA419C7}">
  <dimension ref="A1:N334"/>
  <sheetViews>
    <sheetView tabSelected="1" workbookViewId="0">
      <selection activeCell="H9" sqref="H9"/>
    </sheetView>
  </sheetViews>
  <sheetFormatPr baseColWidth="10" defaultColWidth="11" defaultRowHeight="16"/>
  <cols>
    <col min="1" max="1" width="11" bestFit="1" customWidth="1"/>
    <col min="2" max="2" width="7.1640625" bestFit="1" customWidth="1"/>
    <col min="3" max="3" width="14.1640625" bestFit="1" customWidth="1"/>
    <col min="4" max="4" width="13.1640625" bestFit="1" customWidth="1"/>
    <col min="5" max="6" width="16.83203125" bestFit="1" customWidth="1"/>
    <col min="7" max="7" width="18.1640625" bestFit="1" customWidth="1"/>
    <col min="8" max="8" width="14.1640625" bestFit="1" customWidth="1"/>
    <col min="9" max="9" width="17.6640625" bestFit="1" customWidth="1"/>
    <col min="10" max="10" width="24.33203125" bestFit="1" customWidth="1"/>
    <col min="11" max="11" width="16.6640625" bestFit="1" customWidth="1"/>
    <col min="12" max="12" width="18.6640625" bestFit="1" customWidth="1"/>
    <col min="13" max="13" width="23.83203125" customWidth="1"/>
    <col min="14" max="14" width="10.6640625" customWidth="1"/>
  </cols>
  <sheetData>
    <row r="1" spans="1:14">
      <c r="G1" t="s">
        <v>16</v>
      </c>
      <c r="H1" s="1">
        <v>100000</v>
      </c>
    </row>
    <row r="2" spans="1:14">
      <c r="G2" t="s">
        <v>17</v>
      </c>
      <c r="H2" s="17"/>
      <c r="I2" t="s">
        <v>18</v>
      </c>
      <c r="J2" s="5" t="s">
        <v>19</v>
      </c>
    </row>
    <row r="3" spans="1:14">
      <c r="G3" t="s">
        <v>17</v>
      </c>
      <c r="H3" s="18">
        <v>0.02</v>
      </c>
      <c r="I3" t="s">
        <v>20</v>
      </c>
      <c r="J3" s="5"/>
    </row>
    <row r="4" spans="1:14">
      <c r="G4" t="s">
        <v>21</v>
      </c>
      <c r="H4" s="17"/>
      <c r="I4" t="s">
        <v>18</v>
      </c>
    </row>
    <row r="5" spans="1:14">
      <c r="G5" t="s">
        <v>21</v>
      </c>
      <c r="H5" s="17">
        <f>(1+$H$4)^(1/12)-1</f>
        <v>0</v>
      </c>
      <c r="I5" t="s">
        <v>20</v>
      </c>
    </row>
    <row r="6" spans="1:14">
      <c r="F6" s="1"/>
      <c r="G6" t="s">
        <v>22</v>
      </c>
      <c r="H6" s="20"/>
      <c r="I6" s="17" t="s">
        <v>23</v>
      </c>
      <c r="J6" s="3"/>
    </row>
    <row r="7" spans="1:14">
      <c r="F7" s="1"/>
      <c r="G7" t="s">
        <v>22</v>
      </c>
      <c r="H7" s="20">
        <v>36</v>
      </c>
      <c r="I7" s="17" t="s">
        <v>24</v>
      </c>
    </row>
    <row r="8" spans="1:14">
      <c r="G8" t="s">
        <v>25</v>
      </c>
      <c r="H8" s="20">
        <v>6</v>
      </c>
      <c r="I8" s="19" t="s">
        <v>24</v>
      </c>
    </row>
    <row r="9" spans="1:14">
      <c r="D9" s="3">
        <f>SUM(D12:D129966)</f>
        <v>0</v>
      </c>
      <c r="F9" s="3">
        <f>SUM(F12:F129966)</f>
        <v>52970.395283359983</v>
      </c>
      <c r="H9" s="17"/>
      <c r="I9" s="19"/>
      <c r="J9" s="3">
        <f>SUM(J12:J129966)</f>
        <v>134201.02162895989</v>
      </c>
    </row>
    <row r="10" spans="1:14">
      <c r="D10" s="3"/>
      <c r="F10" s="3"/>
      <c r="H10" s="17"/>
      <c r="I10" s="19"/>
      <c r="J10" s="3"/>
    </row>
    <row r="11" spans="1:14" s="2" customFormat="1">
      <c r="A11" s="5" t="s">
        <v>26</v>
      </c>
      <c r="B11" s="5" t="s">
        <v>27</v>
      </c>
      <c r="C11" s="5" t="s">
        <v>28</v>
      </c>
      <c r="D11" s="2" t="s">
        <v>21</v>
      </c>
      <c r="E11" s="5" t="s">
        <v>29</v>
      </c>
      <c r="F11" s="5" t="s">
        <v>30</v>
      </c>
      <c r="G11" s="5" t="s">
        <v>31</v>
      </c>
      <c r="H11" s="5" t="s">
        <v>32</v>
      </c>
      <c r="I11" s="5" t="s">
        <v>33</v>
      </c>
      <c r="J11" s="5" t="s">
        <v>34</v>
      </c>
      <c r="K11" s="5" t="s">
        <v>35</v>
      </c>
      <c r="L11" s="5"/>
      <c r="M11" s="5"/>
    </row>
    <row r="12" spans="1:14">
      <c r="A12" s="15">
        <v>45472</v>
      </c>
      <c r="B12" s="21">
        <v>1</v>
      </c>
      <c r="C12" s="3">
        <f>H1</f>
        <v>100000</v>
      </c>
      <c r="D12" s="3">
        <f>C12*$H$5</f>
        <v>0</v>
      </c>
      <c r="E12" s="3">
        <f>C12+D12</f>
        <v>100000</v>
      </c>
      <c r="F12" s="3">
        <f>E12*($H$3)</f>
        <v>2000</v>
      </c>
      <c r="G12" s="1">
        <f>IF($H$8&gt;=B12,0,(E12)/($H$7-($H$8)))</f>
        <v>0</v>
      </c>
      <c r="H12" s="3">
        <f>IF($H$8&gt;=B12,0,F12+G12)</f>
        <v>0</v>
      </c>
      <c r="I12" s="1"/>
      <c r="J12" s="3">
        <f>H12+I12</f>
        <v>0</v>
      </c>
      <c r="K12" s="3">
        <f>IF(G12&lt;1,E12-G12-I12+F12,E12-G12-I12)</f>
        <v>102000</v>
      </c>
      <c r="M12" s="23">
        <f>F12/$F$9</f>
        <v>3.7756939311122645E-2</v>
      </c>
      <c r="N12" s="3"/>
    </row>
    <row r="13" spans="1:14">
      <c r="A13" s="15">
        <v>45502</v>
      </c>
      <c r="B13" s="21">
        <v>2</v>
      </c>
      <c r="C13" s="3">
        <f>K12</f>
        <v>102000</v>
      </c>
      <c r="D13" s="3">
        <f t="shared" ref="D13:D47" si="0">C13*$H$5</f>
        <v>0</v>
      </c>
      <c r="E13" s="3">
        <f>C13+D13</f>
        <v>102000</v>
      </c>
      <c r="F13" s="3">
        <f>E13*$H$3</f>
        <v>2040</v>
      </c>
      <c r="G13" s="1">
        <f t="shared" ref="G12:G47" si="1">IF($H$8&gt;=B13,0,(E13)/($H$7-(B12-$H$8)))</f>
        <v>0</v>
      </c>
      <c r="H13" s="3">
        <f t="shared" ref="H13:H47" si="2">IF($H$8&gt;=B13,0,F13+G13)</f>
        <v>0</v>
      </c>
      <c r="I13" s="1"/>
      <c r="J13" s="3">
        <f t="shared" ref="J13:J47" si="3">H13+I13</f>
        <v>0</v>
      </c>
      <c r="K13" s="3">
        <f t="shared" ref="K13:K47" si="4">IF(G13&lt;1,E13-G13-I13+F13,E13-G13-I13)</f>
        <v>104040</v>
      </c>
      <c r="M13" s="23">
        <f t="shared" ref="M13:M47" si="5">F13/$F$9</f>
        <v>3.8512078097345095E-2</v>
      </c>
      <c r="N13" s="28">
        <f>M13+M12</f>
        <v>7.626901740846774E-2</v>
      </c>
    </row>
    <row r="14" spans="1:14">
      <c r="A14" s="15">
        <v>45533</v>
      </c>
      <c r="B14" s="21">
        <v>3</v>
      </c>
      <c r="C14" s="3">
        <f t="shared" ref="C14:C47" si="6">K13</f>
        <v>104040</v>
      </c>
      <c r="D14" s="3">
        <f t="shared" si="0"/>
        <v>0</v>
      </c>
      <c r="E14" s="3">
        <f t="shared" ref="E14:E47" si="7">C14+D14</f>
        <v>104040</v>
      </c>
      <c r="F14" s="3">
        <f t="shared" ref="F14:F47" si="8">E14*$H$3</f>
        <v>2080.8000000000002</v>
      </c>
      <c r="G14" s="1">
        <f t="shared" si="1"/>
        <v>0</v>
      </c>
      <c r="H14" s="3">
        <f t="shared" si="2"/>
        <v>0</v>
      </c>
      <c r="I14" s="1"/>
      <c r="J14" s="3">
        <f t="shared" si="3"/>
        <v>0</v>
      </c>
      <c r="K14" s="3">
        <f t="shared" si="4"/>
        <v>106120.8</v>
      </c>
      <c r="M14" s="23">
        <f t="shared" si="5"/>
        <v>3.9282319659291999E-2</v>
      </c>
      <c r="N14" s="28">
        <f>N13+M14</f>
        <v>0.11555133706775975</v>
      </c>
    </row>
    <row r="15" spans="1:14">
      <c r="A15" s="15">
        <v>45564</v>
      </c>
      <c r="B15" s="21">
        <v>4</v>
      </c>
      <c r="C15" s="3">
        <f t="shared" si="6"/>
        <v>106120.8</v>
      </c>
      <c r="D15" s="3">
        <f t="shared" si="0"/>
        <v>0</v>
      </c>
      <c r="E15" s="3">
        <f t="shared" si="7"/>
        <v>106120.8</v>
      </c>
      <c r="F15" s="3">
        <f t="shared" si="8"/>
        <v>2122.4160000000002</v>
      </c>
      <c r="G15" s="1">
        <f t="shared" si="1"/>
        <v>0</v>
      </c>
      <c r="H15" s="3">
        <f t="shared" si="2"/>
        <v>0</v>
      </c>
      <c r="I15" s="1"/>
      <c r="J15" s="3">
        <f t="shared" si="3"/>
        <v>0</v>
      </c>
      <c r="K15" s="3">
        <f t="shared" si="4"/>
        <v>108243.216</v>
      </c>
      <c r="M15" s="23">
        <f t="shared" si="5"/>
        <v>4.0067966052477838E-2</v>
      </c>
      <c r="N15" s="28">
        <f t="shared" ref="N15:N47" si="9">N14+M15</f>
        <v>0.15561930312023758</v>
      </c>
    </row>
    <row r="16" spans="1:14">
      <c r="A16" s="15">
        <v>45594</v>
      </c>
      <c r="B16" s="21">
        <v>5</v>
      </c>
      <c r="C16" s="3">
        <f t="shared" si="6"/>
        <v>108243.216</v>
      </c>
      <c r="D16" s="3">
        <f t="shared" si="0"/>
        <v>0</v>
      </c>
      <c r="E16" s="3">
        <f t="shared" si="7"/>
        <v>108243.216</v>
      </c>
      <c r="F16" s="3">
        <f t="shared" si="8"/>
        <v>2164.8643200000001</v>
      </c>
      <c r="G16" s="1">
        <f t="shared" si="1"/>
        <v>0</v>
      </c>
      <c r="H16" s="3">
        <f t="shared" si="2"/>
        <v>0</v>
      </c>
      <c r="I16" s="1"/>
      <c r="J16" s="3">
        <f t="shared" si="3"/>
        <v>0</v>
      </c>
      <c r="K16" s="3">
        <f t="shared" si="4"/>
        <v>110408.08031999999</v>
      </c>
      <c r="M16" s="23">
        <f t="shared" si="5"/>
        <v>4.0869325373527395E-2</v>
      </c>
      <c r="N16" s="28">
        <f t="shared" si="9"/>
        <v>0.19648862849376497</v>
      </c>
    </row>
    <row r="17" spans="1:14">
      <c r="A17" s="15">
        <v>45625</v>
      </c>
      <c r="B17" s="21">
        <v>6</v>
      </c>
      <c r="C17" s="3">
        <f t="shared" si="6"/>
        <v>110408.08031999999</v>
      </c>
      <c r="D17" s="3">
        <f t="shared" si="0"/>
        <v>0</v>
      </c>
      <c r="E17" s="3">
        <f t="shared" si="7"/>
        <v>110408.08031999999</v>
      </c>
      <c r="F17" s="3">
        <f t="shared" si="8"/>
        <v>2208.1616064</v>
      </c>
      <c r="G17" s="1">
        <f>IF($H$8&gt;=B17,0,(E17)/($H$7-(B16-$H$8)))</f>
        <v>0</v>
      </c>
      <c r="H17" s="3">
        <f t="shared" si="2"/>
        <v>0</v>
      </c>
      <c r="I17" s="1"/>
      <c r="J17" s="3">
        <f t="shared" si="3"/>
        <v>0</v>
      </c>
      <c r="K17" s="3">
        <f t="shared" si="4"/>
        <v>112616.24192639999</v>
      </c>
      <c r="M17" s="23">
        <f t="shared" si="5"/>
        <v>4.1686711880997943E-2</v>
      </c>
      <c r="N17" s="28">
        <f t="shared" si="9"/>
        <v>0.2381753403747629</v>
      </c>
    </row>
    <row r="18" spans="1:14">
      <c r="A18" s="15">
        <v>45655</v>
      </c>
      <c r="B18" s="21">
        <v>7</v>
      </c>
      <c r="C18" s="3">
        <f t="shared" si="6"/>
        <v>112616.24192639999</v>
      </c>
      <c r="D18" s="3">
        <f t="shared" si="0"/>
        <v>0</v>
      </c>
      <c r="E18" s="3">
        <f t="shared" si="7"/>
        <v>112616.24192639999</v>
      </c>
      <c r="F18" s="3">
        <f t="shared" si="8"/>
        <v>2252.3248385279999</v>
      </c>
      <c r="G18" s="1">
        <f t="shared" si="1"/>
        <v>3128.2289423999996</v>
      </c>
      <c r="H18" s="3">
        <f>IF($H$8&gt;=B18,0,F18+G18)</f>
        <v>5380.5537809279995</v>
      </c>
      <c r="I18" s="1"/>
      <c r="J18" s="3">
        <f t="shared" si="3"/>
        <v>5380.5537809279995</v>
      </c>
      <c r="K18" s="3">
        <f t="shared" si="4"/>
        <v>109488.01298399999</v>
      </c>
      <c r="M18" s="23">
        <f t="shared" si="5"/>
        <v>4.2520446118617897E-2</v>
      </c>
      <c r="N18" s="28">
        <f t="shared" si="9"/>
        <v>0.28069578649338078</v>
      </c>
    </row>
    <row r="19" spans="1:14">
      <c r="A19" s="15">
        <v>45686</v>
      </c>
      <c r="B19" s="21">
        <v>8</v>
      </c>
      <c r="C19" s="3">
        <f t="shared" si="6"/>
        <v>109488.01298399999</v>
      </c>
      <c r="D19" s="3">
        <f t="shared" si="0"/>
        <v>0</v>
      </c>
      <c r="E19" s="3">
        <f t="shared" si="7"/>
        <v>109488.01298399999</v>
      </c>
      <c r="F19" s="3">
        <f t="shared" si="8"/>
        <v>2189.7602596799998</v>
      </c>
      <c r="G19" s="1">
        <f t="shared" si="1"/>
        <v>3128.2289423999996</v>
      </c>
      <c r="H19" s="3">
        <f t="shared" si="2"/>
        <v>5317.9892020799998</v>
      </c>
      <c r="I19" s="1"/>
      <c r="J19" s="3">
        <f t="shared" si="3"/>
        <v>5317.9892020799998</v>
      </c>
      <c r="K19" s="3">
        <f t="shared" si="4"/>
        <v>106359.78404159998</v>
      </c>
      <c r="M19" s="23">
        <f t="shared" si="5"/>
        <v>4.1339322615322957E-2</v>
      </c>
      <c r="N19" s="28">
        <f t="shared" si="9"/>
        <v>0.32203510910870375</v>
      </c>
    </row>
    <row r="20" spans="1:14">
      <c r="A20" s="15">
        <v>45716</v>
      </c>
      <c r="B20" s="21">
        <v>9</v>
      </c>
      <c r="C20" s="3">
        <f t="shared" si="6"/>
        <v>106359.78404159998</v>
      </c>
      <c r="D20" s="3">
        <f t="shared" si="0"/>
        <v>0</v>
      </c>
      <c r="E20" s="3">
        <f t="shared" si="7"/>
        <v>106359.78404159998</v>
      </c>
      <c r="F20" s="3">
        <f t="shared" si="8"/>
        <v>2127.1956808319997</v>
      </c>
      <c r="G20" s="1">
        <f t="shared" si="1"/>
        <v>3128.2289423999996</v>
      </c>
      <c r="H20" s="3">
        <f t="shared" si="2"/>
        <v>5255.4246232319992</v>
      </c>
      <c r="I20" s="1"/>
      <c r="J20" s="3">
        <f t="shared" si="3"/>
        <v>5255.4246232319992</v>
      </c>
      <c r="K20" s="3">
        <f t="shared" si="4"/>
        <v>103231.55509919998</v>
      </c>
      <c r="M20" s="23">
        <f t="shared" si="5"/>
        <v>4.015819911202801E-2</v>
      </c>
      <c r="N20" s="28">
        <f t="shared" si="9"/>
        <v>0.36219330822073176</v>
      </c>
    </row>
    <row r="21" spans="1:14" s="30" customFormat="1">
      <c r="A21" s="24">
        <v>45745</v>
      </c>
      <c r="B21" s="25">
        <v>10</v>
      </c>
      <c r="C21" s="26">
        <f t="shared" si="6"/>
        <v>103231.55509919998</v>
      </c>
      <c r="D21" s="26">
        <f t="shared" si="0"/>
        <v>0</v>
      </c>
      <c r="E21" s="26">
        <f t="shared" si="7"/>
        <v>103231.55509919998</v>
      </c>
      <c r="F21" s="26">
        <f t="shared" si="8"/>
        <v>2064.6311019839995</v>
      </c>
      <c r="G21" s="27">
        <f t="shared" si="1"/>
        <v>3128.2289423999991</v>
      </c>
      <c r="H21" s="26">
        <f t="shared" si="2"/>
        <v>5192.8600443839987</v>
      </c>
      <c r="I21" s="27"/>
      <c r="J21" s="26">
        <f t="shared" si="3"/>
        <v>5192.8600443839987</v>
      </c>
      <c r="K21" s="26">
        <f t="shared" si="4"/>
        <v>100103.32615679997</v>
      </c>
      <c r="M21" s="31">
        <f t="shared" si="5"/>
        <v>3.8977075608733071E-2</v>
      </c>
      <c r="N21" s="32">
        <f t="shared" si="9"/>
        <v>0.40117038382946485</v>
      </c>
    </row>
    <row r="22" spans="1:14">
      <c r="A22" s="15">
        <v>45776</v>
      </c>
      <c r="B22" s="21">
        <v>11</v>
      </c>
      <c r="C22" s="3">
        <f t="shared" si="6"/>
        <v>100103.32615679997</v>
      </c>
      <c r="D22" s="3">
        <f t="shared" si="0"/>
        <v>0</v>
      </c>
      <c r="E22" s="3">
        <f t="shared" si="7"/>
        <v>100103.32615679997</v>
      </c>
      <c r="F22" s="3">
        <f t="shared" si="8"/>
        <v>2002.0665231359994</v>
      </c>
      <c r="G22" s="1">
        <f t="shared" si="1"/>
        <v>3128.2289423999991</v>
      </c>
      <c r="H22" s="3">
        <f t="shared" si="2"/>
        <v>5130.295465535999</v>
      </c>
      <c r="I22" s="1"/>
      <c r="J22" s="3">
        <f t="shared" si="3"/>
        <v>5130.295465535999</v>
      </c>
      <c r="K22" s="3">
        <f t="shared" si="4"/>
        <v>96975.097214399968</v>
      </c>
      <c r="M22" s="23">
        <f t="shared" si="5"/>
        <v>3.7795952105438124E-2</v>
      </c>
      <c r="N22" s="28">
        <f t="shared" si="9"/>
        <v>0.43896633593490297</v>
      </c>
    </row>
    <row r="23" spans="1:14">
      <c r="A23" s="15">
        <v>45806</v>
      </c>
      <c r="B23" s="21">
        <v>12</v>
      </c>
      <c r="C23" s="3">
        <f t="shared" si="6"/>
        <v>96975.097214399968</v>
      </c>
      <c r="D23" s="3">
        <f t="shared" si="0"/>
        <v>0</v>
      </c>
      <c r="E23" s="3">
        <f t="shared" si="7"/>
        <v>96975.097214399968</v>
      </c>
      <c r="F23" s="3">
        <f t="shared" si="8"/>
        <v>1939.5019442879993</v>
      </c>
      <c r="G23" s="1">
        <f t="shared" si="1"/>
        <v>3128.2289423999991</v>
      </c>
      <c r="H23" s="3">
        <f t="shared" si="2"/>
        <v>5067.7308866879985</v>
      </c>
      <c r="I23" s="1"/>
      <c r="J23" s="3">
        <f t="shared" si="3"/>
        <v>5067.7308866879985</v>
      </c>
      <c r="K23" s="3">
        <f t="shared" si="4"/>
        <v>93846.868271999963</v>
      </c>
      <c r="M23" s="23">
        <f t="shared" si="5"/>
        <v>3.6614828602143178E-2</v>
      </c>
      <c r="N23" s="28">
        <f t="shared" si="9"/>
        <v>0.47558116453704613</v>
      </c>
    </row>
    <row r="24" spans="1:14">
      <c r="A24" s="15">
        <v>45837</v>
      </c>
      <c r="B24" s="21">
        <v>13</v>
      </c>
      <c r="C24" s="3">
        <f t="shared" si="6"/>
        <v>93846.868271999963</v>
      </c>
      <c r="D24" s="3">
        <f t="shared" si="0"/>
        <v>0</v>
      </c>
      <c r="E24" s="3">
        <f t="shared" si="7"/>
        <v>93846.868271999963</v>
      </c>
      <c r="F24" s="3">
        <f t="shared" si="8"/>
        <v>1876.9373654399992</v>
      </c>
      <c r="G24" s="1">
        <f t="shared" si="1"/>
        <v>3128.2289423999987</v>
      </c>
      <c r="H24" s="3">
        <f t="shared" si="2"/>
        <v>5005.1663078399979</v>
      </c>
      <c r="I24" s="1"/>
      <c r="J24" s="3">
        <f t="shared" si="3"/>
        <v>5005.1663078399979</v>
      </c>
      <c r="K24" s="3">
        <f t="shared" si="4"/>
        <v>90718.639329599959</v>
      </c>
      <c r="M24" s="23">
        <f t="shared" si="5"/>
        <v>3.5433705098848238E-2</v>
      </c>
      <c r="N24" s="28">
        <f t="shared" si="9"/>
        <v>0.51101486963589438</v>
      </c>
    </row>
    <row r="25" spans="1:14">
      <c r="A25" s="15">
        <v>45867</v>
      </c>
      <c r="B25" s="21">
        <v>14</v>
      </c>
      <c r="C25" s="3">
        <f t="shared" si="6"/>
        <v>90718.639329599959</v>
      </c>
      <c r="D25" s="3">
        <f t="shared" si="0"/>
        <v>0</v>
      </c>
      <c r="E25" s="3">
        <f t="shared" si="7"/>
        <v>90718.639329599959</v>
      </c>
      <c r="F25" s="3">
        <f t="shared" si="8"/>
        <v>1814.3727865919991</v>
      </c>
      <c r="G25" s="1">
        <f t="shared" si="1"/>
        <v>3128.2289423999987</v>
      </c>
      <c r="H25" s="3">
        <f t="shared" si="2"/>
        <v>4942.6017289919982</v>
      </c>
      <c r="I25" s="1"/>
      <c r="J25" s="3">
        <f t="shared" si="3"/>
        <v>4942.6017289919982</v>
      </c>
      <c r="K25" s="3">
        <f t="shared" si="4"/>
        <v>87590.410387199954</v>
      </c>
      <c r="M25" s="23">
        <f t="shared" si="5"/>
        <v>3.4252581595553291E-2</v>
      </c>
      <c r="N25" s="28">
        <f t="shared" si="9"/>
        <v>0.54526745123144771</v>
      </c>
    </row>
    <row r="26" spans="1:14">
      <c r="A26" s="15">
        <v>45898</v>
      </c>
      <c r="B26" s="21">
        <v>15</v>
      </c>
      <c r="C26" s="3">
        <f t="shared" si="6"/>
        <v>87590.410387199954</v>
      </c>
      <c r="D26" s="3">
        <f t="shared" si="0"/>
        <v>0</v>
      </c>
      <c r="E26" s="3">
        <f t="shared" si="7"/>
        <v>87590.410387199954</v>
      </c>
      <c r="F26" s="3">
        <f t="shared" si="8"/>
        <v>1751.8082077439992</v>
      </c>
      <c r="G26" s="1">
        <f t="shared" si="1"/>
        <v>3128.2289423999982</v>
      </c>
      <c r="H26" s="3">
        <f t="shared" si="2"/>
        <v>4880.0371501439977</v>
      </c>
      <c r="I26" s="1"/>
      <c r="J26" s="3">
        <f t="shared" si="3"/>
        <v>4880.0371501439977</v>
      </c>
      <c r="K26" s="3">
        <f t="shared" si="4"/>
        <v>84462.18144479995</v>
      </c>
      <c r="M26" s="23">
        <f t="shared" si="5"/>
        <v>3.3071458092258352E-2</v>
      </c>
      <c r="N26" s="28">
        <f t="shared" si="9"/>
        <v>0.57833890932370602</v>
      </c>
    </row>
    <row r="27" spans="1:14">
      <c r="A27" s="15">
        <v>45929</v>
      </c>
      <c r="B27" s="21">
        <v>16</v>
      </c>
      <c r="C27" s="3">
        <f t="shared" si="6"/>
        <v>84462.18144479995</v>
      </c>
      <c r="D27" s="3">
        <f t="shared" si="0"/>
        <v>0</v>
      </c>
      <c r="E27" s="3">
        <f t="shared" si="7"/>
        <v>84462.18144479995</v>
      </c>
      <c r="F27" s="3">
        <f t="shared" si="8"/>
        <v>1689.2436288959991</v>
      </c>
      <c r="G27" s="1">
        <f t="shared" si="1"/>
        <v>3128.2289423999982</v>
      </c>
      <c r="H27" s="3">
        <f t="shared" si="2"/>
        <v>4817.4725712959971</v>
      </c>
      <c r="I27" s="1"/>
      <c r="J27" s="3">
        <f t="shared" si="3"/>
        <v>4817.4725712959971</v>
      </c>
      <c r="K27" s="3">
        <f t="shared" si="4"/>
        <v>81333.952502399945</v>
      </c>
      <c r="M27" s="23">
        <f t="shared" si="5"/>
        <v>3.1890334588963412E-2</v>
      </c>
      <c r="N27" s="28">
        <f t="shared" si="9"/>
        <v>0.61022924391266942</v>
      </c>
    </row>
    <row r="28" spans="1:14">
      <c r="A28" s="15">
        <v>45959</v>
      </c>
      <c r="B28" s="21">
        <v>17</v>
      </c>
      <c r="C28" s="3">
        <f t="shared" si="6"/>
        <v>81333.952502399945</v>
      </c>
      <c r="D28" s="3">
        <f t="shared" si="0"/>
        <v>0</v>
      </c>
      <c r="E28" s="3">
        <f t="shared" si="7"/>
        <v>81333.952502399945</v>
      </c>
      <c r="F28" s="3">
        <f t="shared" si="8"/>
        <v>1626.679050047999</v>
      </c>
      <c r="G28" s="1">
        <f t="shared" si="1"/>
        <v>3128.2289423999978</v>
      </c>
      <c r="H28" s="3">
        <f t="shared" si="2"/>
        <v>4754.9079924479965</v>
      </c>
      <c r="I28" s="1"/>
      <c r="J28" s="3">
        <f t="shared" si="3"/>
        <v>4754.9079924479965</v>
      </c>
      <c r="K28" s="3">
        <f t="shared" si="4"/>
        <v>78205.72355999994</v>
      </c>
      <c r="M28" s="23">
        <f t="shared" si="5"/>
        <v>3.0709211085668466E-2</v>
      </c>
      <c r="N28" s="28">
        <f t="shared" si="9"/>
        <v>0.6409384549983379</v>
      </c>
    </row>
    <row r="29" spans="1:14">
      <c r="A29" s="15">
        <v>45990</v>
      </c>
      <c r="B29" s="21">
        <v>18</v>
      </c>
      <c r="C29" s="3">
        <f t="shared" si="6"/>
        <v>78205.72355999994</v>
      </c>
      <c r="D29" s="3">
        <f t="shared" si="0"/>
        <v>0</v>
      </c>
      <c r="E29" s="3">
        <f t="shared" si="7"/>
        <v>78205.72355999994</v>
      </c>
      <c r="F29" s="3">
        <f t="shared" si="8"/>
        <v>1564.1144711999989</v>
      </c>
      <c r="G29" s="1">
        <f t="shared" si="1"/>
        <v>3128.2289423999978</v>
      </c>
      <c r="H29" s="3">
        <f t="shared" si="2"/>
        <v>4692.3434135999969</v>
      </c>
      <c r="I29" s="1"/>
      <c r="J29" s="3">
        <f t="shared" si="3"/>
        <v>4692.3434135999969</v>
      </c>
      <c r="K29" s="3">
        <f t="shared" si="4"/>
        <v>75077.494617599936</v>
      </c>
      <c r="M29" s="23">
        <f t="shared" si="5"/>
        <v>2.9528087582373522E-2</v>
      </c>
      <c r="N29" s="28">
        <f t="shared" si="9"/>
        <v>0.67046654258071148</v>
      </c>
    </row>
    <row r="30" spans="1:14">
      <c r="A30" s="15">
        <v>46020</v>
      </c>
      <c r="B30" s="21">
        <v>19</v>
      </c>
      <c r="C30" s="3">
        <f t="shared" si="6"/>
        <v>75077.494617599936</v>
      </c>
      <c r="D30" s="3">
        <f t="shared" si="0"/>
        <v>0</v>
      </c>
      <c r="E30" s="3">
        <f t="shared" si="7"/>
        <v>75077.494617599936</v>
      </c>
      <c r="F30" s="3">
        <f t="shared" si="8"/>
        <v>1501.5498923519988</v>
      </c>
      <c r="G30" s="1">
        <f t="shared" si="1"/>
        <v>3128.2289423999973</v>
      </c>
      <c r="H30" s="3">
        <f t="shared" si="2"/>
        <v>4629.7788347519963</v>
      </c>
      <c r="I30" s="1"/>
      <c r="J30" s="3">
        <f t="shared" si="3"/>
        <v>4629.7788347519963</v>
      </c>
      <c r="K30" s="3">
        <f t="shared" si="4"/>
        <v>71949.265675199946</v>
      </c>
      <c r="M30" s="23">
        <f t="shared" si="5"/>
        <v>2.8346964079078579E-2</v>
      </c>
      <c r="N30" s="28">
        <f t="shared" si="9"/>
        <v>0.69881350665979003</v>
      </c>
    </row>
    <row r="31" spans="1:14">
      <c r="A31" s="15">
        <v>46051</v>
      </c>
      <c r="B31" s="21">
        <v>20</v>
      </c>
      <c r="C31" s="3">
        <f t="shared" si="6"/>
        <v>71949.265675199946</v>
      </c>
      <c r="D31" s="3">
        <f t="shared" si="0"/>
        <v>0</v>
      </c>
      <c r="E31" s="3">
        <f t="shared" si="7"/>
        <v>71949.265675199946</v>
      </c>
      <c r="F31" s="3">
        <f t="shared" si="8"/>
        <v>1438.9853135039989</v>
      </c>
      <c r="G31" s="1">
        <f t="shared" si="1"/>
        <v>3128.2289423999978</v>
      </c>
      <c r="H31" s="3">
        <f t="shared" si="2"/>
        <v>4567.2142559039967</v>
      </c>
      <c r="I31" s="1"/>
      <c r="J31" s="3">
        <f t="shared" si="3"/>
        <v>4567.2142559039967</v>
      </c>
      <c r="K31" s="3">
        <f t="shared" si="4"/>
        <v>68821.036732799941</v>
      </c>
      <c r="M31" s="23">
        <f t="shared" si="5"/>
        <v>2.716584057578364E-2</v>
      </c>
      <c r="N31" s="29">
        <f t="shared" si="9"/>
        <v>0.72597934723557367</v>
      </c>
    </row>
    <row r="32" spans="1:14">
      <c r="A32" s="15">
        <v>46081</v>
      </c>
      <c r="B32" s="21">
        <v>21</v>
      </c>
      <c r="C32" s="3">
        <f t="shared" si="6"/>
        <v>68821.036732799941</v>
      </c>
      <c r="D32" s="3">
        <f t="shared" si="0"/>
        <v>0</v>
      </c>
      <c r="E32" s="3">
        <f t="shared" si="7"/>
        <v>68821.036732799941</v>
      </c>
      <c r="F32" s="3">
        <f t="shared" si="8"/>
        <v>1376.4207346559988</v>
      </c>
      <c r="G32" s="1">
        <f t="shared" si="1"/>
        <v>3128.2289423999973</v>
      </c>
      <c r="H32" s="3">
        <f t="shared" si="2"/>
        <v>4504.6496770559961</v>
      </c>
      <c r="I32" s="1"/>
      <c r="J32" s="3">
        <f t="shared" si="3"/>
        <v>4504.6496770559961</v>
      </c>
      <c r="K32" s="3">
        <f t="shared" si="4"/>
        <v>65692.807790399936</v>
      </c>
      <c r="M32" s="23">
        <f t="shared" si="5"/>
        <v>2.5984717072488693E-2</v>
      </c>
      <c r="N32" s="28">
        <f t="shared" si="9"/>
        <v>0.7519640643080624</v>
      </c>
    </row>
    <row r="33" spans="1:14">
      <c r="A33" s="15">
        <v>46110</v>
      </c>
      <c r="B33" s="21">
        <v>22</v>
      </c>
      <c r="C33" s="3">
        <f t="shared" si="6"/>
        <v>65692.807790399936</v>
      </c>
      <c r="D33" s="3">
        <f t="shared" si="0"/>
        <v>0</v>
      </c>
      <c r="E33" s="3">
        <f t="shared" si="7"/>
        <v>65692.807790399936</v>
      </c>
      <c r="F33" s="3">
        <f t="shared" si="8"/>
        <v>1313.8561558079987</v>
      </c>
      <c r="G33" s="1">
        <f t="shared" si="1"/>
        <v>3128.2289423999969</v>
      </c>
      <c r="H33" s="3">
        <f t="shared" si="2"/>
        <v>4442.0850982079955</v>
      </c>
      <c r="I33" s="1"/>
      <c r="J33" s="3">
        <f t="shared" si="3"/>
        <v>4442.0850982079955</v>
      </c>
      <c r="K33" s="3">
        <f t="shared" si="4"/>
        <v>62564.578847999939</v>
      </c>
      <c r="M33" s="23">
        <f t="shared" si="5"/>
        <v>2.480359356919375E-2</v>
      </c>
      <c r="N33" s="28">
        <f t="shared" si="9"/>
        <v>0.7767676578772561</v>
      </c>
    </row>
    <row r="34" spans="1:14">
      <c r="A34" s="15">
        <v>46141</v>
      </c>
      <c r="B34" s="21">
        <v>23</v>
      </c>
      <c r="C34" s="3">
        <f t="shared" si="6"/>
        <v>62564.578847999939</v>
      </c>
      <c r="D34" s="3">
        <f t="shared" si="0"/>
        <v>0</v>
      </c>
      <c r="E34" s="3">
        <f t="shared" si="7"/>
        <v>62564.578847999939</v>
      </c>
      <c r="F34" s="3">
        <f t="shared" si="8"/>
        <v>1251.2915769599988</v>
      </c>
      <c r="G34" s="1">
        <f t="shared" si="1"/>
        <v>3128.2289423999969</v>
      </c>
      <c r="H34" s="3">
        <f t="shared" si="2"/>
        <v>4379.5205193599959</v>
      </c>
      <c r="I34" s="1"/>
      <c r="J34" s="3">
        <f t="shared" si="3"/>
        <v>4379.5205193599959</v>
      </c>
      <c r="K34" s="3">
        <f t="shared" si="4"/>
        <v>59436.349905599942</v>
      </c>
      <c r="M34" s="23">
        <f t="shared" si="5"/>
        <v>2.362247006589881E-2</v>
      </c>
      <c r="N34" s="28">
        <f t="shared" si="9"/>
        <v>0.80039012794315489</v>
      </c>
    </row>
    <row r="35" spans="1:14">
      <c r="A35" s="15">
        <v>46171</v>
      </c>
      <c r="B35" s="21">
        <v>24</v>
      </c>
      <c r="C35" s="3">
        <f t="shared" si="6"/>
        <v>59436.349905599942</v>
      </c>
      <c r="D35" s="3">
        <f t="shared" si="0"/>
        <v>0</v>
      </c>
      <c r="E35" s="3">
        <f t="shared" si="7"/>
        <v>59436.349905599942</v>
      </c>
      <c r="F35" s="3">
        <f t="shared" si="8"/>
        <v>1188.7269981119989</v>
      </c>
      <c r="G35" s="1">
        <f t="shared" si="1"/>
        <v>3128.2289423999969</v>
      </c>
      <c r="H35" s="3">
        <f t="shared" si="2"/>
        <v>4316.9559405119962</v>
      </c>
      <c r="I35" s="1"/>
      <c r="J35" s="3">
        <f t="shared" si="3"/>
        <v>4316.9559405119962</v>
      </c>
      <c r="K35" s="3">
        <f t="shared" si="4"/>
        <v>56308.120963199945</v>
      </c>
      <c r="M35" s="23">
        <f t="shared" si="5"/>
        <v>2.2441346562603871E-2</v>
      </c>
      <c r="N35" s="28">
        <f t="shared" si="9"/>
        <v>0.82283147450575878</v>
      </c>
    </row>
    <row r="36" spans="1:14">
      <c r="A36" s="15">
        <v>46202</v>
      </c>
      <c r="B36" s="21">
        <v>25</v>
      </c>
      <c r="C36" s="3">
        <f t="shared" si="6"/>
        <v>56308.120963199945</v>
      </c>
      <c r="D36" s="3">
        <f t="shared" si="0"/>
        <v>0</v>
      </c>
      <c r="E36" s="3">
        <f t="shared" si="7"/>
        <v>56308.120963199945</v>
      </c>
      <c r="F36" s="3">
        <f t="shared" si="8"/>
        <v>1126.162419263999</v>
      </c>
      <c r="G36" s="1">
        <f t="shared" si="1"/>
        <v>3128.2289423999969</v>
      </c>
      <c r="H36" s="3">
        <f t="shared" si="2"/>
        <v>4254.3913616639957</v>
      </c>
      <c r="I36" s="1"/>
      <c r="J36" s="3">
        <f t="shared" si="3"/>
        <v>4254.3913616639957</v>
      </c>
      <c r="K36" s="3">
        <f t="shared" si="4"/>
        <v>53179.892020799947</v>
      </c>
      <c r="M36" s="23">
        <f t="shared" si="5"/>
        <v>2.1260223059308931E-2</v>
      </c>
      <c r="N36" s="28">
        <f t="shared" si="9"/>
        <v>0.84409169756506774</v>
      </c>
    </row>
    <row r="37" spans="1:14">
      <c r="A37" s="15">
        <v>46232</v>
      </c>
      <c r="B37" s="21">
        <v>26</v>
      </c>
      <c r="C37" s="3">
        <f t="shared" si="6"/>
        <v>53179.892020799947</v>
      </c>
      <c r="D37" s="3">
        <f t="shared" si="0"/>
        <v>0</v>
      </c>
      <c r="E37" s="3">
        <f t="shared" si="7"/>
        <v>53179.892020799947</v>
      </c>
      <c r="F37" s="3">
        <f t="shared" si="8"/>
        <v>1063.5978404159989</v>
      </c>
      <c r="G37" s="1">
        <f t="shared" si="1"/>
        <v>3128.2289423999969</v>
      </c>
      <c r="H37" s="3">
        <f t="shared" si="2"/>
        <v>4191.826782815996</v>
      </c>
      <c r="I37" s="1"/>
      <c r="J37" s="3">
        <f t="shared" si="3"/>
        <v>4191.826782815996</v>
      </c>
      <c r="K37" s="3">
        <f t="shared" si="4"/>
        <v>50051.66307839995</v>
      </c>
      <c r="M37" s="23">
        <f t="shared" si="5"/>
        <v>2.0079099556013988E-2</v>
      </c>
      <c r="N37" s="28">
        <f t="shared" si="9"/>
        <v>0.86417079712108169</v>
      </c>
    </row>
    <row r="38" spans="1:14">
      <c r="A38" s="15">
        <v>46263</v>
      </c>
      <c r="B38" s="21">
        <v>27</v>
      </c>
      <c r="C38" s="3">
        <f t="shared" si="6"/>
        <v>50051.66307839995</v>
      </c>
      <c r="D38" s="3">
        <f t="shared" si="0"/>
        <v>0</v>
      </c>
      <c r="E38" s="3">
        <f t="shared" si="7"/>
        <v>50051.66307839995</v>
      </c>
      <c r="F38" s="3">
        <f t="shared" si="8"/>
        <v>1001.033261567999</v>
      </c>
      <c r="G38" s="1">
        <f t="shared" si="1"/>
        <v>3128.2289423999969</v>
      </c>
      <c r="H38" s="3">
        <f t="shared" si="2"/>
        <v>4129.2622039679954</v>
      </c>
      <c r="I38" s="1"/>
      <c r="J38" s="3">
        <f t="shared" si="3"/>
        <v>4129.2622039679954</v>
      </c>
      <c r="K38" s="3">
        <f t="shared" si="4"/>
        <v>46923.434135999953</v>
      </c>
      <c r="M38" s="23">
        <f t="shared" si="5"/>
        <v>1.8897976052719048E-2</v>
      </c>
      <c r="N38" s="28">
        <f t="shared" si="9"/>
        <v>0.88306877317380073</v>
      </c>
    </row>
    <row r="39" spans="1:14">
      <c r="A39" s="15">
        <v>46294</v>
      </c>
      <c r="B39" s="21">
        <v>28</v>
      </c>
      <c r="C39" s="3">
        <f t="shared" si="6"/>
        <v>46923.434135999953</v>
      </c>
      <c r="D39" s="3">
        <f t="shared" si="0"/>
        <v>0</v>
      </c>
      <c r="E39" s="3">
        <f t="shared" si="7"/>
        <v>46923.434135999953</v>
      </c>
      <c r="F39" s="3">
        <f t="shared" si="8"/>
        <v>938.46868271999904</v>
      </c>
      <c r="G39" s="1">
        <f t="shared" si="1"/>
        <v>3128.2289423999969</v>
      </c>
      <c r="H39" s="3">
        <f t="shared" si="2"/>
        <v>4066.6976251199958</v>
      </c>
      <c r="I39" s="1"/>
      <c r="J39" s="3">
        <f t="shared" si="3"/>
        <v>4066.6976251199958</v>
      </c>
      <c r="K39" s="3">
        <f t="shared" si="4"/>
        <v>43795.205193599955</v>
      </c>
      <c r="M39" s="23">
        <f t="shared" si="5"/>
        <v>1.7716852549424109E-2</v>
      </c>
      <c r="N39" s="28">
        <f t="shared" si="9"/>
        <v>0.90078562572322485</v>
      </c>
    </row>
    <row r="40" spans="1:14">
      <c r="A40" s="15">
        <v>46324</v>
      </c>
      <c r="B40" s="21">
        <v>29</v>
      </c>
      <c r="C40" s="3">
        <f t="shared" si="6"/>
        <v>43795.205193599955</v>
      </c>
      <c r="D40" s="3">
        <f t="shared" si="0"/>
        <v>0</v>
      </c>
      <c r="E40" s="3">
        <f t="shared" si="7"/>
        <v>43795.205193599955</v>
      </c>
      <c r="F40" s="3">
        <f t="shared" si="8"/>
        <v>875.90410387199915</v>
      </c>
      <c r="G40" s="1">
        <f t="shared" si="1"/>
        <v>3128.2289423999969</v>
      </c>
      <c r="H40" s="3">
        <f t="shared" si="2"/>
        <v>4004.1330462719961</v>
      </c>
      <c r="I40" s="1"/>
      <c r="J40" s="3">
        <f t="shared" si="3"/>
        <v>4004.1330462719961</v>
      </c>
      <c r="K40" s="3">
        <f t="shared" si="4"/>
        <v>40666.976251199958</v>
      </c>
      <c r="M40" s="23">
        <f t="shared" si="5"/>
        <v>1.6535729046129169E-2</v>
      </c>
      <c r="N40" s="28">
        <f t="shared" si="9"/>
        <v>0.91732135476935406</v>
      </c>
    </row>
    <row r="41" spans="1:14">
      <c r="A41" s="15">
        <v>46355</v>
      </c>
      <c r="B41" s="21">
        <v>30</v>
      </c>
      <c r="C41" s="3">
        <f t="shared" si="6"/>
        <v>40666.976251199958</v>
      </c>
      <c r="D41" s="3">
        <f t="shared" si="0"/>
        <v>0</v>
      </c>
      <c r="E41" s="3">
        <f t="shared" si="7"/>
        <v>40666.976251199958</v>
      </c>
      <c r="F41" s="3">
        <f t="shared" si="8"/>
        <v>813.33952502399916</v>
      </c>
      <c r="G41" s="1">
        <f t="shared" si="1"/>
        <v>3128.2289423999969</v>
      </c>
      <c r="H41" s="3">
        <f t="shared" si="2"/>
        <v>3941.568467423996</v>
      </c>
      <c r="I41" s="1"/>
      <c r="J41" s="3">
        <f t="shared" si="3"/>
        <v>3941.568467423996</v>
      </c>
      <c r="K41" s="3">
        <f t="shared" si="4"/>
        <v>37538.747308799961</v>
      </c>
      <c r="M41" s="23">
        <f t="shared" si="5"/>
        <v>1.5354605542834226E-2</v>
      </c>
      <c r="N41" s="28">
        <f t="shared" si="9"/>
        <v>0.93267596031218825</v>
      </c>
    </row>
    <row r="42" spans="1:14">
      <c r="A42" s="15">
        <v>46385</v>
      </c>
      <c r="B42" s="21">
        <v>31</v>
      </c>
      <c r="C42" s="3">
        <f t="shared" si="6"/>
        <v>37538.747308799961</v>
      </c>
      <c r="D42" s="3">
        <f t="shared" si="0"/>
        <v>0</v>
      </c>
      <c r="E42" s="3">
        <f t="shared" si="7"/>
        <v>37538.747308799961</v>
      </c>
      <c r="F42" s="3">
        <f t="shared" si="8"/>
        <v>750.77494617599928</v>
      </c>
      <c r="G42" s="1">
        <f t="shared" si="1"/>
        <v>3128.2289423999969</v>
      </c>
      <c r="H42" s="3">
        <f t="shared" si="2"/>
        <v>3879.0038885759959</v>
      </c>
      <c r="I42" s="1"/>
      <c r="J42" s="3">
        <f t="shared" si="3"/>
        <v>3879.0038885759959</v>
      </c>
      <c r="K42" s="3">
        <f t="shared" si="4"/>
        <v>34410.518366399963</v>
      </c>
      <c r="M42" s="23">
        <f t="shared" si="5"/>
        <v>1.4173482039539286E-2</v>
      </c>
      <c r="N42" s="28">
        <f t="shared" si="9"/>
        <v>0.94684944235172752</v>
      </c>
    </row>
    <row r="43" spans="1:14">
      <c r="A43" s="15">
        <v>46416</v>
      </c>
      <c r="B43" s="21">
        <v>32</v>
      </c>
      <c r="C43" s="3">
        <f t="shared" si="6"/>
        <v>34410.518366399963</v>
      </c>
      <c r="D43" s="3">
        <f t="shared" si="0"/>
        <v>0</v>
      </c>
      <c r="E43" s="3">
        <f t="shared" si="7"/>
        <v>34410.518366399963</v>
      </c>
      <c r="F43" s="3">
        <f t="shared" si="8"/>
        <v>688.21036732799928</v>
      </c>
      <c r="G43" s="1">
        <f t="shared" si="1"/>
        <v>3128.2289423999969</v>
      </c>
      <c r="H43" s="3">
        <f t="shared" si="2"/>
        <v>3816.4393097279963</v>
      </c>
      <c r="I43" s="1"/>
      <c r="J43" s="3">
        <f t="shared" si="3"/>
        <v>3816.4393097279963</v>
      </c>
      <c r="K43" s="3">
        <f t="shared" si="4"/>
        <v>31282.289423999966</v>
      </c>
      <c r="M43" s="23">
        <f t="shared" si="5"/>
        <v>1.2992358536244345E-2</v>
      </c>
      <c r="N43" s="28">
        <f t="shared" si="9"/>
        <v>0.95984180088797189</v>
      </c>
    </row>
    <row r="44" spans="1:14">
      <c r="A44" s="15">
        <v>46446</v>
      </c>
      <c r="B44" s="21">
        <v>33</v>
      </c>
      <c r="C44" s="3">
        <f t="shared" si="6"/>
        <v>31282.289423999966</v>
      </c>
      <c r="D44" s="3">
        <f t="shared" si="0"/>
        <v>0</v>
      </c>
      <c r="E44" s="3">
        <f t="shared" si="7"/>
        <v>31282.289423999966</v>
      </c>
      <c r="F44" s="3">
        <f t="shared" si="8"/>
        <v>625.64578847999928</v>
      </c>
      <c r="G44" s="1">
        <f t="shared" si="1"/>
        <v>3128.2289423999964</v>
      </c>
      <c r="H44" s="3">
        <f t="shared" si="2"/>
        <v>3753.8747308799957</v>
      </c>
      <c r="I44" s="1"/>
      <c r="J44" s="3">
        <f t="shared" si="3"/>
        <v>3753.8747308799957</v>
      </c>
      <c r="K44" s="3">
        <f t="shared" si="4"/>
        <v>28154.060481599969</v>
      </c>
      <c r="M44" s="23">
        <f t="shared" si="5"/>
        <v>1.1811235032949403E-2</v>
      </c>
      <c r="N44" s="28">
        <f t="shared" si="9"/>
        <v>0.97165303592092134</v>
      </c>
    </row>
    <row r="45" spans="1:14">
      <c r="A45" s="15">
        <v>46475</v>
      </c>
      <c r="B45" s="21">
        <v>34</v>
      </c>
      <c r="C45" s="3">
        <f t="shared" si="6"/>
        <v>28154.060481599969</v>
      </c>
      <c r="D45" s="3">
        <f t="shared" si="0"/>
        <v>0</v>
      </c>
      <c r="E45" s="3">
        <f t="shared" si="7"/>
        <v>28154.060481599969</v>
      </c>
      <c r="F45" s="3">
        <f t="shared" si="8"/>
        <v>563.0812096319994</v>
      </c>
      <c r="G45" s="1">
        <f t="shared" si="1"/>
        <v>3128.2289423999964</v>
      </c>
      <c r="H45" s="3">
        <f t="shared" si="2"/>
        <v>3691.310152031996</v>
      </c>
      <c r="I45" s="1"/>
      <c r="J45" s="3">
        <f t="shared" si="3"/>
        <v>3691.310152031996</v>
      </c>
      <c r="K45" s="3">
        <f t="shared" si="4"/>
        <v>25025.831539199971</v>
      </c>
      <c r="M45" s="23">
        <f t="shared" si="5"/>
        <v>1.0630111529654464E-2</v>
      </c>
      <c r="N45" s="28">
        <f t="shared" si="9"/>
        <v>0.98228314745057577</v>
      </c>
    </row>
    <row r="46" spans="1:14">
      <c r="A46" s="15">
        <v>46506</v>
      </c>
      <c r="B46" s="21">
        <v>35</v>
      </c>
      <c r="C46" s="3">
        <f t="shared" si="6"/>
        <v>25025.831539199971</v>
      </c>
      <c r="D46" s="3">
        <f t="shared" si="0"/>
        <v>0</v>
      </c>
      <c r="E46" s="3">
        <f t="shared" si="7"/>
        <v>25025.831539199971</v>
      </c>
      <c r="F46" s="3">
        <f t="shared" si="8"/>
        <v>500.51663078399946</v>
      </c>
      <c r="G46" s="1">
        <f t="shared" si="1"/>
        <v>3128.2289423999964</v>
      </c>
      <c r="H46" s="3">
        <f t="shared" si="2"/>
        <v>3628.7455731839959</v>
      </c>
      <c r="I46" s="1"/>
      <c r="J46" s="3">
        <f t="shared" si="3"/>
        <v>3628.7455731839959</v>
      </c>
      <c r="K46" s="3">
        <f t="shared" si="4"/>
        <v>21897.602596799974</v>
      </c>
      <c r="M46" s="23">
        <f t="shared" si="5"/>
        <v>9.4489880263595241E-3</v>
      </c>
      <c r="N46" s="28">
        <f t="shared" si="9"/>
        <v>0.99173213547693528</v>
      </c>
    </row>
    <row r="47" spans="1:14">
      <c r="A47" s="15">
        <v>46536</v>
      </c>
      <c r="B47" s="21">
        <v>36</v>
      </c>
      <c r="C47" s="3">
        <f t="shared" si="6"/>
        <v>21897.602596799974</v>
      </c>
      <c r="D47" s="3">
        <f t="shared" si="0"/>
        <v>0</v>
      </c>
      <c r="E47" s="3">
        <f t="shared" si="7"/>
        <v>21897.602596799974</v>
      </c>
      <c r="F47" s="3">
        <f t="shared" si="8"/>
        <v>437.95205193599946</v>
      </c>
      <c r="G47" s="1">
        <f t="shared" si="1"/>
        <v>3128.2289423999964</v>
      </c>
      <c r="H47" s="3">
        <f t="shared" si="2"/>
        <v>3566.1809943359958</v>
      </c>
      <c r="I47" s="1"/>
      <c r="J47" s="3">
        <f t="shared" si="3"/>
        <v>3566.1809943359958</v>
      </c>
      <c r="K47" s="3">
        <f t="shared" si="4"/>
        <v>18769.373654399977</v>
      </c>
      <c r="M47" s="23">
        <f t="shared" si="5"/>
        <v>8.267864523064581E-3</v>
      </c>
      <c r="N47" s="28">
        <f t="shared" si="9"/>
        <v>0.99999999999999989</v>
      </c>
    </row>
    <row r="48" spans="1:14">
      <c r="A48" s="15"/>
      <c r="B48" s="21"/>
      <c r="C48" s="3"/>
      <c r="D48" s="3"/>
      <c r="E48" s="3"/>
      <c r="F48" s="3"/>
      <c r="G48" s="1"/>
      <c r="H48" s="3"/>
      <c r="I48" s="1"/>
      <c r="J48" s="3"/>
      <c r="K48" s="3"/>
    </row>
    <row r="49" spans="1:11">
      <c r="A49" s="15"/>
      <c r="B49" s="21"/>
      <c r="C49" s="3"/>
      <c r="D49" s="3"/>
      <c r="E49" s="3"/>
      <c r="F49" s="3"/>
      <c r="G49" s="1"/>
      <c r="H49" s="3"/>
      <c r="I49" s="1"/>
      <c r="J49" s="3"/>
      <c r="K49" s="3"/>
    </row>
    <row r="50" spans="1:11">
      <c r="A50" s="15"/>
      <c r="B50" s="21"/>
      <c r="C50" s="3"/>
      <c r="D50" s="3"/>
      <c r="E50" s="3"/>
      <c r="F50" s="3"/>
      <c r="G50" s="1"/>
      <c r="H50" s="3"/>
      <c r="I50" s="1"/>
      <c r="J50" s="3"/>
      <c r="K50" s="3"/>
    </row>
    <row r="51" spans="1:11">
      <c r="A51" s="15"/>
      <c r="B51" s="21"/>
      <c r="C51" s="3"/>
      <c r="D51" s="3"/>
      <c r="E51" s="3"/>
      <c r="F51" s="3"/>
      <c r="G51" s="1"/>
      <c r="H51" s="3"/>
      <c r="I51" s="1"/>
      <c r="J51" s="3"/>
      <c r="K51" s="3"/>
    </row>
    <row r="52" spans="1:11">
      <c r="A52" s="15"/>
      <c r="B52" s="21"/>
      <c r="C52" s="3"/>
      <c r="D52" s="3"/>
      <c r="E52" s="3"/>
      <c r="F52" s="3"/>
      <c r="G52" s="1"/>
      <c r="H52" s="3"/>
      <c r="I52" s="1"/>
      <c r="J52" s="3"/>
      <c r="K52" s="3"/>
    </row>
    <row r="53" spans="1:11">
      <c r="A53" s="15"/>
      <c r="B53" s="21"/>
      <c r="C53" s="3"/>
      <c r="D53" s="3"/>
      <c r="E53" s="3"/>
      <c r="F53" s="3"/>
      <c r="G53" s="1"/>
      <c r="H53" s="3"/>
      <c r="I53" s="1"/>
      <c r="J53" s="3"/>
      <c r="K53" s="3"/>
    </row>
    <row r="54" spans="1:11">
      <c r="A54" s="15"/>
      <c r="B54" s="21"/>
      <c r="C54" s="3"/>
      <c r="D54" s="3"/>
      <c r="E54" s="3"/>
      <c r="F54" s="3"/>
      <c r="G54" s="1"/>
      <c r="H54" s="3"/>
      <c r="I54" s="1"/>
      <c r="J54" s="3"/>
      <c r="K54" s="3"/>
    </row>
    <row r="55" spans="1:11">
      <c r="A55" s="15"/>
      <c r="B55" s="21"/>
      <c r="C55" s="3"/>
      <c r="D55" s="3"/>
      <c r="E55" s="3"/>
      <c r="F55" s="3"/>
      <c r="G55" s="1"/>
      <c r="H55" s="3"/>
      <c r="I55" s="1"/>
      <c r="J55" s="3"/>
      <c r="K55" s="3"/>
    </row>
    <row r="56" spans="1:11">
      <c r="A56" s="15"/>
      <c r="B56" s="21"/>
      <c r="C56" s="3"/>
      <c r="D56" s="3"/>
      <c r="E56" s="3"/>
      <c r="F56" s="3"/>
      <c r="G56" s="1"/>
      <c r="H56" s="3"/>
      <c r="I56" s="1"/>
      <c r="J56" s="3"/>
      <c r="K56" s="3"/>
    </row>
    <row r="57" spans="1:11">
      <c r="A57" s="15"/>
      <c r="B57" s="21"/>
      <c r="C57" s="3"/>
      <c r="D57" s="3"/>
      <c r="E57" s="3"/>
      <c r="F57" s="3"/>
      <c r="G57" s="1"/>
      <c r="H57" s="3"/>
      <c r="I57" s="1"/>
      <c r="J57" s="3"/>
      <c r="K57" s="3"/>
    </row>
    <row r="58" spans="1:11">
      <c r="A58" s="15"/>
      <c r="B58" s="21"/>
      <c r="C58" s="3"/>
      <c r="D58" s="3"/>
      <c r="E58" s="3"/>
      <c r="F58" s="3"/>
      <c r="G58" s="1"/>
      <c r="H58" s="3"/>
      <c r="I58" s="1"/>
      <c r="J58" s="3"/>
      <c r="K58" s="3"/>
    </row>
    <row r="59" spans="1:11">
      <c r="A59" s="15"/>
      <c r="B59" s="21"/>
      <c r="C59" s="3"/>
      <c r="D59" s="3"/>
      <c r="E59" s="3"/>
      <c r="F59" s="3"/>
      <c r="G59" s="1"/>
      <c r="H59" s="3"/>
      <c r="I59" s="1"/>
      <c r="J59" s="3"/>
      <c r="K59" s="3"/>
    </row>
    <row r="60" spans="1:11">
      <c r="A60" s="15"/>
      <c r="B60" s="21"/>
      <c r="C60" s="3"/>
      <c r="D60" s="3"/>
      <c r="E60" s="3"/>
      <c r="F60" s="3"/>
      <c r="G60" s="1"/>
      <c r="H60" s="3"/>
      <c r="I60" s="1"/>
      <c r="J60" s="3"/>
      <c r="K60" s="3"/>
    </row>
    <row r="61" spans="1:11">
      <c r="A61" s="15"/>
      <c r="B61" s="21"/>
      <c r="C61" s="3"/>
      <c r="D61" s="3"/>
      <c r="E61" s="3"/>
      <c r="F61" s="3"/>
      <c r="G61" s="1"/>
      <c r="H61" s="3"/>
      <c r="I61" s="1"/>
      <c r="J61" s="3"/>
      <c r="K61" s="3"/>
    </row>
    <row r="62" spans="1:11">
      <c r="A62" s="15"/>
      <c r="B62" s="21"/>
      <c r="C62" s="3"/>
      <c r="D62" s="3"/>
      <c r="E62" s="3"/>
      <c r="F62" s="3"/>
      <c r="G62" s="1"/>
      <c r="H62" s="3"/>
      <c r="I62" s="1"/>
      <c r="J62" s="3"/>
      <c r="K62" s="3"/>
    </row>
    <row r="63" spans="1:11">
      <c r="A63" s="15"/>
      <c r="B63" s="21"/>
      <c r="C63" s="3"/>
      <c r="D63" s="3"/>
      <c r="E63" s="3"/>
      <c r="F63" s="3"/>
      <c r="G63" s="1"/>
      <c r="H63" s="3"/>
      <c r="I63" s="1"/>
      <c r="J63" s="3"/>
      <c r="K63" s="3"/>
    </row>
    <row r="64" spans="1:11">
      <c r="A64" s="15"/>
      <c r="B64" s="21"/>
      <c r="C64" s="3"/>
      <c r="D64" s="3"/>
      <c r="E64" s="3"/>
      <c r="F64" s="3"/>
      <c r="G64" s="1"/>
      <c r="H64" s="3"/>
      <c r="I64" s="1"/>
      <c r="J64" s="3"/>
      <c r="K64" s="3"/>
    </row>
    <row r="65" spans="1:11">
      <c r="A65" s="15"/>
      <c r="B65" s="21"/>
      <c r="C65" s="3"/>
      <c r="D65" s="3"/>
      <c r="E65" s="3"/>
      <c r="F65" s="3"/>
      <c r="G65" s="1"/>
      <c r="H65" s="3"/>
      <c r="I65" s="1"/>
      <c r="J65" s="3"/>
      <c r="K65" s="3"/>
    </row>
    <row r="66" spans="1:11">
      <c r="A66" s="15"/>
      <c r="B66" s="21"/>
      <c r="C66" s="3"/>
      <c r="D66" s="3"/>
      <c r="E66" s="3"/>
      <c r="F66" s="3"/>
      <c r="G66" s="1"/>
      <c r="H66" s="3"/>
      <c r="I66" s="1"/>
      <c r="J66" s="3"/>
      <c r="K66" s="3"/>
    </row>
    <row r="67" spans="1:11">
      <c r="A67" s="15"/>
      <c r="B67" s="21"/>
      <c r="C67" s="3"/>
      <c r="D67" s="3"/>
      <c r="E67" s="3"/>
      <c r="F67" s="3"/>
      <c r="G67" s="1"/>
      <c r="H67" s="3"/>
      <c r="I67" s="1"/>
      <c r="J67" s="3"/>
      <c r="K67" s="3"/>
    </row>
    <row r="68" spans="1:11">
      <c r="A68" s="15"/>
      <c r="B68" s="21"/>
      <c r="C68" s="3"/>
      <c r="D68" s="3"/>
      <c r="E68" s="3"/>
      <c r="F68" s="3"/>
      <c r="G68" s="1"/>
      <c r="H68" s="3"/>
      <c r="I68" s="1"/>
      <c r="J68" s="3"/>
      <c r="K68" s="3"/>
    </row>
    <row r="69" spans="1:11">
      <c r="A69" s="15"/>
      <c r="B69" s="21"/>
      <c r="C69" s="3"/>
      <c r="D69" s="3"/>
      <c r="E69" s="3"/>
      <c r="F69" s="3"/>
      <c r="G69" s="1"/>
      <c r="H69" s="3"/>
      <c r="I69" s="1"/>
      <c r="J69" s="3"/>
      <c r="K69" s="3"/>
    </row>
    <row r="70" spans="1:11">
      <c r="A70" s="15"/>
      <c r="B70" s="21"/>
      <c r="C70" s="3"/>
      <c r="D70" s="3"/>
      <c r="E70" s="3"/>
      <c r="F70" s="3"/>
      <c r="G70" s="1"/>
      <c r="H70" s="3"/>
      <c r="I70" s="1"/>
      <c r="J70" s="3"/>
      <c r="K70" s="3"/>
    </row>
    <row r="71" spans="1:11">
      <c r="A71" s="15"/>
      <c r="B71" s="21"/>
      <c r="C71" s="3"/>
      <c r="D71" s="3"/>
      <c r="E71" s="3"/>
      <c r="F71" s="3"/>
      <c r="G71" s="1"/>
      <c r="H71" s="3"/>
      <c r="I71" s="1"/>
      <c r="J71" s="3"/>
      <c r="K71" s="3"/>
    </row>
    <row r="72" spans="1:11">
      <c r="A72" s="15"/>
      <c r="B72" s="21"/>
      <c r="C72" s="3"/>
      <c r="D72" s="3"/>
      <c r="E72" s="3"/>
      <c r="F72" s="3"/>
      <c r="G72" s="1"/>
      <c r="H72" s="3"/>
      <c r="I72" s="1"/>
      <c r="J72" s="3"/>
      <c r="K72" s="3"/>
    </row>
    <row r="73" spans="1:11">
      <c r="A73" s="15"/>
      <c r="B73" s="21"/>
      <c r="C73" s="3"/>
      <c r="D73" s="3"/>
      <c r="E73" s="3"/>
      <c r="F73" s="3"/>
      <c r="G73" s="1"/>
      <c r="H73" s="3"/>
      <c r="I73" s="1"/>
      <c r="J73" s="3"/>
      <c r="K73" s="3"/>
    </row>
    <row r="74" spans="1:11">
      <c r="A74" s="15"/>
      <c r="B74" s="21"/>
      <c r="C74" s="3"/>
      <c r="D74" s="3"/>
      <c r="E74" s="3"/>
      <c r="F74" s="3"/>
      <c r="G74" s="1"/>
      <c r="H74" s="3"/>
      <c r="I74" s="1"/>
      <c r="J74" s="3"/>
      <c r="K74" s="3"/>
    </row>
    <row r="75" spans="1:11">
      <c r="A75" s="15"/>
      <c r="B75" s="21"/>
      <c r="C75" s="3"/>
      <c r="D75" s="3"/>
      <c r="E75" s="3"/>
      <c r="F75" s="3"/>
      <c r="G75" s="1"/>
      <c r="H75" s="3"/>
      <c r="I75" s="1"/>
      <c r="J75" s="3"/>
      <c r="K75" s="3"/>
    </row>
    <row r="76" spans="1:11">
      <c r="A76" s="15"/>
      <c r="B76" s="21"/>
      <c r="C76" s="3"/>
      <c r="D76" s="3"/>
      <c r="E76" s="3"/>
      <c r="F76" s="3"/>
      <c r="G76" s="1"/>
      <c r="H76" s="3"/>
      <c r="I76" s="1"/>
      <c r="J76" s="3"/>
      <c r="K76" s="3"/>
    </row>
    <row r="77" spans="1:11">
      <c r="A77" s="15"/>
      <c r="B77" s="21"/>
      <c r="C77" s="3"/>
      <c r="D77" s="3"/>
      <c r="E77" s="3"/>
      <c r="F77" s="3"/>
      <c r="G77" s="1"/>
      <c r="H77" s="3"/>
      <c r="I77" s="1"/>
      <c r="J77" s="3"/>
      <c r="K77" s="3"/>
    </row>
    <row r="78" spans="1:11">
      <c r="A78" s="15"/>
      <c r="B78" s="21"/>
      <c r="C78" s="3"/>
      <c r="D78" s="3"/>
      <c r="E78" s="3"/>
      <c r="F78" s="3"/>
      <c r="G78" s="1"/>
      <c r="H78" s="3"/>
      <c r="I78" s="1"/>
      <c r="J78" s="3"/>
      <c r="K78" s="3"/>
    </row>
    <row r="79" spans="1:11">
      <c r="A79" s="15"/>
      <c r="B79" s="21"/>
      <c r="C79" s="3"/>
      <c r="D79" s="3"/>
      <c r="E79" s="3"/>
      <c r="F79" s="3"/>
      <c r="G79" s="1"/>
      <c r="H79" s="3"/>
      <c r="I79" s="1"/>
      <c r="J79" s="3"/>
      <c r="K79" s="3"/>
    </row>
    <row r="80" spans="1:11">
      <c r="A80" s="15"/>
      <c r="B80" s="21"/>
      <c r="C80" s="3"/>
      <c r="D80" s="3"/>
      <c r="E80" s="3"/>
      <c r="F80" s="3"/>
      <c r="G80" s="1"/>
      <c r="H80" s="3"/>
      <c r="I80" s="1"/>
      <c r="J80" s="3"/>
      <c r="K80" s="3"/>
    </row>
    <row r="81" spans="1:11">
      <c r="A81" s="15"/>
      <c r="B81" s="21"/>
      <c r="C81" s="3"/>
      <c r="D81" s="3"/>
      <c r="E81" s="3"/>
      <c r="F81" s="3"/>
      <c r="G81" s="1"/>
      <c r="H81" s="3"/>
      <c r="I81" s="1"/>
      <c r="J81" s="3"/>
      <c r="K81" s="3"/>
    </row>
    <row r="82" spans="1:11">
      <c r="A82" s="15"/>
      <c r="B82" s="21"/>
      <c r="C82" s="3"/>
      <c r="D82" s="3"/>
      <c r="E82" s="3"/>
      <c r="F82" s="3"/>
      <c r="G82" s="1"/>
      <c r="H82" s="3"/>
      <c r="I82" s="1"/>
      <c r="J82" s="3"/>
      <c r="K82" s="3"/>
    </row>
    <row r="83" spans="1:11">
      <c r="A83" s="15"/>
      <c r="B83" s="21"/>
      <c r="C83" s="3"/>
      <c r="D83" s="3"/>
      <c r="E83" s="3"/>
      <c r="F83" s="3"/>
      <c r="G83" s="1"/>
      <c r="H83" s="3"/>
      <c r="I83" s="1"/>
      <c r="J83" s="3"/>
      <c r="K83" s="3"/>
    </row>
    <row r="84" spans="1:11">
      <c r="A84" s="15"/>
      <c r="B84" s="21"/>
      <c r="C84" s="3"/>
      <c r="D84" s="3"/>
      <c r="E84" s="3"/>
      <c r="F84" s="3"/>
      <c r="G84" s="1"/>
      <c r="H84" s="3"/>
      <c r="I84" s="1"/>
      <c r="J84" s="3"/>
      <c r="K84" s="3"/>
    </row>
    <row r="85" spans="1:11">
      <c r="A85" s="15"/>
      <c r="B85" s="21"/>
      <c r="C85" s="3"/>
      <c r="D85" s="3"/>
      <c r="E85" s="3"/>
      <c r="F85" s="3"/>
      <c r="G85" s="1"/>
      <c r="H85" s="3"/>
      <c r="I85" s="1"/>
      <c r="J85" s="3"/>
      <c r="K85" s="3"/>
    </row>
    <row r="86" spans="1:11">
      <c r="A86" s="15"/>
      <c r="B86" s="21"/>
      <c r="C86" s="3"/>
      <c r="D86" s="3"/>
      <c r="E86" s="3"/>
      <c r="F86" s="3"/>
      <c r="G86" s="1"/>
      <c r="H86" s="3"/>
      <c r="I86" s="1"/>
      <c r="J86" s="3"/>
      <c r="K86" s="3"/>
    </row>
    <row r="87" spans="1:11">
      <c r="A87" s="15"/>
      <c r="B87" s="21"/>
      <c r="C87" s="3"/>
      <c r="D87" s="3"/>
      <c r="E87" s="3"/>
      <c r="F87" s="3"/>
      <c r="G87" s="1"/>
      <c r="H87" s="3"/>
      <c r="I87" s="1"/>
      <c r="J87" s="3"/>
      <c r="K87" s="3"/>
    </row>
    <row r="88" spans="1:11">
      <c r="A88" s="15"/>
      <c r="B88" s="21"/>
      <c r="C88" s="3"/>
      <c r="D88" s="3"/>
      <c r="E88" s="3"/>
      <c r="F88" s="3"/>
      <c r="G88" s="1"/>
      <c r="H88" s="3"/>
      <c r="I88" s="1"/>
      <c r="J88" s="3"/>
      <c r="K88" s="3"/>
    </row>
    <row r="89" spans="1:11">
      <c r="A89" s="15"/>
      <c r="B89" s="21"/>
      <c r="C89" s="3"/>
      <c r="D89" s="3"/>
      <c r="E89" s="3"/>
      <c r="F89" s="3"/>
      <c r="G89" s="1"/>
      <c r="H89" s="3"/>
      <c r="I89" s="1"/>
      <c r="J89" s="3"/>
      <c r="K89" s="3"/>
    </row>
    <row r="90" spans="1:11">
      <c r="A90" s="15"/>
      <c r="B90" s="21"/>
      <c r="C90" s="3"/>
      <c r="D90" s="3"/>
      <c r="E90" s="3"/>
      <c r="F90" s="3"/>
      <c r="G90" s="1"/>
      <c r="H90" s="3"/>
      <c r="I90" s="1"/>
      <c r="J90" s="3"/>
      <c r="K90" s="3"/>
    </row>
    <row r="91" spans="1:11">
      <c r="A91" s="15"/>
      <c r="B91" s="21"/>
      <c r="C91" s="3"/>
      <c r="D91" s="3"/>
      <c r="E91" s="3"/>
      <c r="F91" s="3"/>
      <c r="G91" s="1"/>
      <c r="H91" s="3"/>
      <c r="I91" s="1"/>
      <c r="J91" s="3"/>
      <c r="K91" s="3"/>
    </row>
    <row r="92" spans="1:11">
      <c r="A92" s="15"/>
      <c r="B92" s="21"/>
      <c r="C92" s="3"/>
      <c r="D92" s="3"/>
      <c r="E92" s="3"/>
      <c r="F92" s="3"/>
      <c r="G92" s="1"/>
      <c r="H92" s="3"/>
      <c r="I92" s="1"/>
      <c r="J92" s="3"/>
      <c r="K92" s="3"/>
    </row>
    <row r="93" spans="1:11">
      <c r="A93" s="15"/>
      <c r="B93" s="21"/>
      <c r="C93" s="3"/>
      <c r="D93" s="3"/>
      <c r="E93" s="3"/>
      <c r="F93" s="3"/>
      <c r="G93" s="1"/>
      <c r="H93" s="3"/>
      <c r="I93" s="1"/>
      <c r="J93" s="3"/>
      <c r="K93" s="3"/>
    </row>
    <row r="94" spans="1:11">
      <c r="A94" s="15"/>
      <c r="B94" s="21"/>
      <c r="C94" s="3"/>
      <c r="D94" s="3"/>
      <c r="E94" s="3"/>
      <c r="F94" s="3"/>
      <c r="G94" s="1"/>
      <c r="H94" s="3"/>
      <c r="I94" s="1"/>
      <c r="J94" s="3"/>
      <c r="K94" s="3"/>
    </row>
    <row r="95" spans="1:11">
      <c r="A95" s="15"/>
      <c r="B95" s="21"/>
      <c r="C95" s="3"/>
      <c r="D95" s="3"/>
      <c r="E95" s="3"/>
      <c r="F95" s="3"/>
      <c r="G95" s="1"/>
      <c r="H95" s="3"/>
      <c r="I95" s="1"/>
      <c r="J95" s="3"/>
      <c r="K95" s="3"/>
    </row>
    <row r="96" spans="1:11">
      <c r="A96" s="15"/>
      <c r="B96" s="21"/>
      <c r="C96" s="3"/>
      <c r="D96" s="3"/>
      <c r="E96" s="3"/>
      <c r="F96" s="3"/>
      <c r="G96" s="1"/>
      <c r="H96" s="3"/>
      <c r="I96" s="1"/>
      <c r="J96" s="3"/>
      <c r="K96" s="3"/>
    </row>
    <row r="97" spans="1:11">
      <c r="A97" s="15"/>
      <c r="B97" s="21"/>
      <c r="C97" s="3"/>
      <c r="D97" s="3"/>
      <c r="E97" s="3"/>
      <c r="F97" s="3"/>
      <c r="G97" s="1"/>
      <c r="H97" s="3"/>
      <c r="I97" s="1"/>
      <c r="J97" s="3"/>
      <c r="K97" s="3"/>
    </row>
    <row r="98" spans="1:11">
      <c r="A98" s="15"/>
      <c r="B98" s="21"/>
      <c r="C98" s="3"/>
      <c r="D98" s="3"/>
      <c r="E98" s="3"/>
      <c r="F98" s="3"/>
      <c r="G98" s="1"/>
      <c r="H98" s="3"/>
      <c r="I98" s="1"/>
      <c r="J98" s="3"/>
      <c r="K98" s="3"/>
    </row>
    <row r="99" spans="1:11">
      <c r="A99" s="15"/>
      <c r="B99" s="21"/>
      <c r="C99" s="3"/>
      <c r="D99" s="3"/>
      <c r="E99" s="3"/>
      <c r="F99" s="3"/>
      <c r="G99" s="1"/>
      <c r="H99" s="3"/>
      <c r="I99" s="1"/>
      <c r="J99" s="3"/>
      <c r="K99" s="3"/>
    </row>
    <row r="100" spans="1:11">
      <c r="A100" s="15"/>
      <c r="B100" s="21"/>
      <c r="C100" s="3"/>
      <c r="D100" s="3"/>
      <c r="E100" s="3"/>
      <c r="F100" s="3"/>
      <c r="G100" s="1"/>
      <c r="H100" s="3"/>
      <c r="I100" s="1"/>
      <c r="J100" s="3"/>
      <c r="K100" s="3"/>
    </row>
    <row r="101" spans="1:11">
      <c r="A101" s="15"/>
      <c r="B101" s="21"/>
      <c r="C101" s="3"/>
      <c r="D101" s="3"/>
      <c r="E101" s="3"/>
      <c r="F101" s="3"/>
      <c r="G101" s="1"/>
      <c r="H101" s="3"/>
      <c r="I101" s="1"/>
      <c r="J101" s="3"/>
      <c r="K101" s="3"/>
    </row>
    <row r="102" spans="1:11">
      <c r="A102" s="15"/>
      <c r="B102" s="21"/>
      <c r="C102" s="3"/>
      <c r="D102" s="3"/>
      <c r="E102" s="3"/>
      <c r="F102" s="3"/>
      <c r="G102" s="1"/>
      <c r="H102" s="3"/>
      <c r="I102" s="1"/>
      <c r="J102" s="3"/>
      <c r="K102" s="3"/>
    </row>
    <row r="103" spans="1:11">
      <c r="A103" s="15"/>
      <c r="B103" s="21"/>
      <c r="C103" s="3"/>
      <c r="D103" s="3"/>
      <c r="E103" s="3"/>
      <c r="F103" s="3"/>
      <c r="G103" s="1"/>
      <c r="H103" s="3"/>
      <c r="I103" s="1"/>
      <c r="J103" s="3"/>
      <c r="K103" s="3"/>
    </row>
    <row r="104" spans="1:11">
      <c r="A104" s="15"/>
      <c r="B104" s="21"/>
      <c r="C104" s="3"/>
      <c r="D104" s="3"/>
      <c r="E104" s="3"/>
      <c r="F104" s="3"/>
      <c r="G104" s="1"/>
      <c r="H104" s="3"/>
      <c r="I104" s="1"/>
      <c r="J104" s="3"/>
      <c r="K104" s="3"/>
    </row>
    <row r="105" spans="1:11">
      <c r="A105" s="15"/>
      <c r="B105" s="21"/>
      <c r="C105" s="3"/>
      <c r="D105" s="3"/>
      <c r="E105" s="3"/>
      <c r="F105" s="3"/>
      <c r="G105" s="1"/>
      <c r="H105" s="3"/>
      <c r="I105" s="1"/>
      <c r="J105" s="3"/>
      <c r="K105" s="3"/>
    </row>
    <row r="106" spans="1:11">
      <c r="A106" s="15"/>
      <c r="B106" s="21"/>
      <c r="C106" s="3"/>
      <c r="D106" s="3"/>
      <c r="E106" s="3"/>
      <c r="F106" s="3"/>
      <c r="G106" s="1"/>
      <c r="H106" s="3"/>
      <c r="I106" s="1"/>
      <c r="J106" s="3"/>
      <c r="K106" s="3"/>
    </row>
    <row r="107" spans="1:11">
      <c r="A107" s="15"/>
      <c r="B107" s="21"/>
      <c r="C107" s="3"/>
      <c r="D107" s="3"/>
      <c r="E107" s="3"/>
      <c r="F107" s="3"/>
      <c r="G107" s="1"/>
      <c r="H107" s="3"/>
      <c r="I107" s="1"/>
      <c r="J107" s="3"/>
      <c r="K107" s="3"/>
    </row>
    <row r="108" spans="1:11">
      <c r="A108" s="15"/>
      <c r="B108" s="21"/>
      <c r="C108" s="3"/>
      <c r="D108" s="3"/>
      <c r="E108" s="3"/>
      <c r="F108" s="3"/>
      <c r="G108" s="1"/>
      <c r="H108" s="3"/>
      <c r="I108" s="1"/>
      <c r="J108" s="3"/>
      <c r="K108" s="3"/>
    </row>
    <row r="109" spans="1:11">
      <c r="A109" s="15"/>
      <c r="B109" s="21"/>
      <c r="C109" s="3"/>
      <c r="D109" s="3"/>
      <c r="E109" s="3"/>
      <c r="F109" s="3"/>
      <c r="G109" s="1"/>
      <c r="H109" s="3"/>
      <c r="I109" s="1"/>
      <c r="J109" s="3"/>
      <c r="K109" s="3"/>
    </row>
    <row r="110" spans="1:11">
      <c r="A110" s="15"/>
      <c r="B110" s="21"/>
      <c r="C110" s="3"/>
      <c r="D110" s="3"/>
      <c r="E110" s="3"/>
      <c r="F110" s="3"/>
      <c r="G110" s="1"/>
      <c r="H110" s="3"/>
      <c r="I110" s="1"/>
      <c r="J110" s="3"/>
      <c r="K110" s="3"/>
    </row>
    <row r="111" spans="1:11">
      <c r="A111" s="15"/>
      <c r="B111" s="21"/>
      <c r="C111" s="3"/>
      <c r="D111" s="3"/>
      <c r="E111" s="3"/>
      <c r="F111" s="3"/>
      <c r="G111" s="1"/>
      <c r="H111" s="3"/>
      <c r="I111" s="1"/>
      <c r="J111" s="3"/>
      <c r="K111" s="3"/>
    </row>
    <row r="112" spans="1:11">
      <c r="A112" s="15"/>
      <c r="B112" s="21"/>
      <c r="C112" s="3"/>
      <c r="D112" s="3"/>
      <c r="E112" s="3"/>
      <c r="F112" s="3"/>
      <c r="G112" s="1"/>
      <c r="H112" s="3"/>
      <c r="I112" s="1"/>
      <c r="J112" s="3"/>
      <c r="K112" s="3"/>
    </row>
    <row r="113" spans="1:11">
      <c r="A113" s="15"/>
      <c r="B113" s="21"/>
      <c r="C113" s="3"/>
      <c r="D113" s="3"/>
      <c r="E113" s="3"/>
      <c r="F113" s="3"/>
      <c r="G113" s="1"/>
      <c r="H113" s="3"/>
      <c r="I113" s="1"/>
      <c r="J113" s="3"/>
      <c r="K113" s="3"/>
    </row>
    <row r="114" spans="1:11">
      <c r="A114" s="15"/>
      <c r="B114" s="21"/>
      <c r="C114" s="3"/>
      <c r="D114" s="3"/>
      <c r="E114" s="3"/>
      <c r="F114" s="3"/>
      <c r="G114" s="1"/>
      <c r="H114" s="3"/>
      <c r="I114" s="1"/>
      <c r="J114" s="3"/>
      <c r="K114" s="3"/>
    </row>
    <row r="115" spans="1:11">
      <c r="A115" s="15"/>
      <c r="B115" s="21"/>
      <c r="C115" s="3"/>
      <c r="D115" s="3"/>
      <c r="E115" s="3"/>
      <c r="F115" s="3"/>
      <c r="G115" s="1"/>
      <c r="H115" s="3"/>
      <c r="I115" s="1"/>
      <c r="J115" s="3"/>
      <c r="K115" s="3"/>
    </row>
    <row r="116" spans="1:11">
      <c r="A116" s="15"/>
      <c r="B116" s="21"/>
      <c r="C116" s="3"/>
      <c r="D116" s="3"/>
      <c r="E116" s="3"/>
      <c r="F116" s="3"/>
      <c r="G116" s="1"/>
      <c r="H116" s="3"/>
      <c r="I116" s="1"/>
      <c r="J116" s="3"/>
      <c r="K116" s="3"/>
    </row>
    <row r="117" spans="1:11">
      <c r="A117" s="15"/>
      <c r="B117" s="21"/>
      <c r="C117" s="3"/>
      <c r="D117" s="3"/>
      <c r="E117" s="3"/>
      <c r="F117" s="3"/>
      <c r="G117" s="1"/>
      <c r="H117" s="3"/>
      <c r="I117" s="1"/>
      <c r="J117" s="3"/>
      <c r="K117" s="3"/>
    </row>
    <row r="118" spans="1:11">
      <c r="A118" s="15"/>
      <c r="B118" s="21"/>
      <c r="C118" s="3"/>
      <c r="D118" s="3"/>
      <c r="E118" s="3"/>
      <c r="F118" s="3"/>
      <c r="G118" s="1"/>
      <c r="H118" s="3"/>
      <c r="I118" s="1"/>
      <c r="J118" s="3"/>
      <c r="K118" s="3"/>
    </row>
    <row r="119" spans="1:11">
      <c r="A119" s="15"/>
      <c r="B119" s="21"/>
      <c r="C119" s="3"/>
      <c r="D119" s="3"/>
      <c r="E119" s="3"/>
      <c r="F119" s="3"/>
      <c r="G119" s="1"/>
      <c r="H119" s="3"/>
      <c r="I119" s="1"/>
      <c r="J119" s="3"/>
      <c r="K119" s="3"/>
    </row>
    <row r="120" spans="1:11">
      <c r="A120" s="15"/>
      <c r="B120" s="21"/>
      <c r="C120" s="3"/>
      <c r="D120" s="3"/>
      <c r="E120" s="3"/>
      <c r="F120" s="3"/>
      <c r="G120" s="1"/>
      <c r="H120" s="3"/>
      <c r="I120" s="1"/>
      <c r="J120" s="3"/>
      <c r="K120" s="3"/>
    </row>
    <row r="121" spans="1:11">
      <c r="A121" s="15"/>
      <c r="B121" s="21"/>
      <c r="C121" s="3"/>
      <c r="D121" s="3"/>
      <c r="E121" s="3"/>
      <c r="F121" s="3"/>
      <c r="G121" s="1"/>
      <c r="H121" s="3"/>
      <c r="I121" s="1"/>
      <c r="J121" s="3"/>
      <c r="K121" s="3"/>
    </row>
    <row r="122" spans="1:11">
      <c r="A122" s="15"/>
      <c r="B122" s="21"/>
      <c r="C122" s="3"/>
      <c r="D122" s="3"/>
      <c r="E122" s="3"/>
      <c r="F122" s="3"/>
      <c r="G122" s="1"/>
      <c r="H122" s="3"/>
      <c r="I122" s="1"/>
      <c r="J122" s="3"/>
      <c r="K122" s="3"/>
    </row>
    <row r="123" spans="1:11">
      <c r="A123" s="15"/>
      <c r="B123" s="21"/>
      <c r="C123" s="3"/>
      <c r="D123" s="3"/>
      <c r="E123" s="3"/>
      <c r="F123" s="3"/>
      <c r="G123" s="1"/>
      <c r="H123" s="3"/>
      <c r="I123" s="1"/>
      <c r="J123" s="3"/>
      <c r="K123" s="3"/>
    </row>
    <row r="124" spans="1:11">
      <c r="A124" s="15"/>
      <c r="B124" s="21"/>
      <c r="C124" s="3"/>
      <c r="D124" s="3"/>
      <c r="E124" s="3"/>
      <c r="F124" s="3"/>
      <c r="G124" s="1"/>
      <c r="H124" s="3"/>
      <c r="I124" s="1"/>
      <c r="J124" s="3"/>
      <c r="K124" s="3"/>
    </row>
    <row r="125" spans="1:11">
      <c r="A125" s="15"/>
      <c r="B125" s="21"/>
      <c r="C125" s="3"/>
      <c r="D125" s="3"/>
      <c r="E125" s="3"/>
      <c r="F125" s="3"/>
      <c r="G125" s="1"/>
      <c r="H125" s="3"/>
      <c r="I125" s="1"/>
      <c r="J125" s="3"/>
      <c r="K125" s="3"/>
    </row>
    <row r="126" spans="1:11">
      <c r="A126" s="15"/>
      <c r="B126" s="21"/>
      <c r="C126" s="3"/>
      <c r="D126" s="3"/>
      <c r="E126" s="3"/>
      <c r="F126" s="3"/>
      <c r="G126" s="1"/>
      <c r="H126" s="3"/>
      <c r="I126" s="1"/>
      <c r="J126" s="3"/>
      <c r="K126" s="3"/>
    </row>
    <row r="127" spans="1:11">
      <c r="A127" s="15"/>
      <c r="B127" s="21"/>
      <c r="C127" s="3"/>
      <c r="D127" s="3"/>
      <c r="E127" s="3"/>
      <c r="F127" s="3"/>
      <c r="G127" s="1"/>
      <c r="H127" s="3"/>
      <c r="I127" s="1"/>
      <c r="J127" s="3"/>
      <c r="K127" s="3"/>
    </row>
    <row r="128" spans="1:11">
      <c r="A128" s="15"/>
      <c r="B128" s="21"/>
      <c r="C128" s="3"/>
      <c r="D128" s="3"/>
      <c r="E128" s="3"/>
      <c r="F128" s="3"/>
      <c r="G128" s="1"/>
      <c r="H128" s="3"/>
      <c r="I128" s="1"/>
      <c r="J128" s="3"/>
      <c r="K128" s="3"/>
    </row>
    <row r="129" spans="1:11">
      <c r="A129" s="15"/>
      <c r="B129" s="21"/>
      <c r="C129" s="3"/>
      <c r="D129" s="3"/>
      <c r="E129" s="3"/>
      <c r="F129" s="3"/>
      <c r="G129" s="1"/>
      <c r="H129" s="3"/>
      <c r="I129" s="1"/>
      <c r="J129" s="3"/>
      <c r="K129" s="3"/>
    </row>
    <row r="130" spans="1:11">
      <c r="A130" s="15"/>
      <c r="B130" s="21"/>
      <c r="C130" s="3"/>
      <c r="D130" s="3"/>
      <c r="E130" s="3"/>
      <c r="F130" s="3"/>
      <c r="G130" s="1"/>
      <c r="H130" s="3"/>
      <c r="I130" s="1"/>
      <c r="J130" s="3"/>
      <c r="K130" s="3"/>
    </row>
    <row r="131" spans="1:11">
      <c r="A131" s="15"/>
      <c r="B131" s="21"/>
      <c r="C131" s="3"/>
      <c r="D131" s="3"/>
      <c r="E131" s="3"/>
      <c r="F131" s="3"/>
      <c r="G131" s="1"/>
      <c r="H131" s="3"/>
      <c r="I131" s="1"/>
      <c r="J131" s="3"/>
      <c r="K131" s="3"/>
    </row>
    <row r="132" spans="1:11">
      <c r="A132" s="15"/>
      <c r="B132" s="21"/>
      <c r="C132" s="3"/>
      <c r="D132" s="3"/>
      <c r="E132" s="3"/>
      <c r="F132" s="3"/>
      <c r="G132" s="1"/>
      <c r="H132" s="3"/>
      <c r="I132" s="1"/>
      <c r="J132" s="3"/>
      <c r="K132" s="3"/>
    </row>
    <row r="133" spans="1:11">
      <c r="A133" s="15"/>
      <c r="B133" s="21"/>
      <c r="C133" s="3"/>
      <c r="D133" s="3"/>
      <c r="E133" s="3"/>
      <c r="F133" s="3"/>
      <c r="G133" s="1"/>
      <c r="H133" s="3"/>
      <c r="I133" s="1"/>
      <c r="J133" s="3"/>
      <c r="K133" s="3"/>
    </row>
    <row r="134" spans="1:11">
      <c r="A134" s="15"/>
      <c r="B134" s="21"/>
      <c r="C134" s="3"/>
      <c r="D134" s="3"/>
      <c r="E134" s="3"/>
      <c r="F134" s="3"/>
      <c r="G134" s="1"/>
      <c r="H134" s="3"/>
      <c r="I134" s="1"/>
      <c r="J134" s="3"/>
      <c r="K134" s="3"/>
    </row>
    <row r="135" spans="1:11">
      <c r="A135" s="15"/>
      <c r="B135" s="21"/>
      <c r="C135" s="3"/>
      <c r="D135" s="3"/>
      <c r="E135" s="3"/>
      <c r="F135" s="3"/>
      <c r="G135" s="1"/>
      <c r="H135" s="3"/>
      <c r="I135" s="1"/>
      <c r="J135" s="3"/>
      <c r="K135" s="3"/>
    </row>
    <row r="136" spans="1:11">
      <c r="A136" s="15"/>
      <c r="B136" s="21"/>
      <c r="C136" s="3"/>
      <c r="D136" s="3"/>
      <c r="E136" s="3"/>
      <c r="F136" s="3"/>
      <c r="G136" s="1"/>
      <c r="H136" s="3"/>
      <c r="I136" s="1"/>
      <c r="J136" s="3"/>
      <c r="K136" s="3"/>
    </row>
    <row r="137" spans="1:11">
      <c r="A137" s="15"/>
      <c r="B137" s="21"/>
      <c r="C137" s="3"/>
      <c r="D137" s="3"/>
      <c r="E137" s="3"/>
      <c r="F137" s="3"/>
      <c r="G137" s="1"/>
      <c r="H137" s="3"/>
      <c r="I137" s="1"/>
      <c r="J137" s="3"/>
      <c r="K137" s="3"/>
    </row>
    <row r="138" spans="1:11">
      <c r="A138" s="15"/>
      <c r="B138" s="21"/>
      <c r="C138" s="3"/>
      <c r="D138" s="3"/>
      <c r="E138" s="3"/>
      <c r="F138" s="3"/>
      <c r="G138" s="1"/>
      <c r="H138" s="3"/>
      <c r="I138" s="1"/>
      <c r="J138" s="3"/>
      <c r="K138" s="3"/>
    </row>
    <row r="139" spans="1:11">
      <c r="A139" s="15"/>
      <c r="B139" s="21"/>
      <c r="C139" s="3"/>
      <c r="D139" s="3"/>
      <c r="E139" s="3"/>
      <c r="F139" s="3"/>
      <c r="G139" s="1"/>
      <c r="H139" s="3"/>
      <c r="I139" s="1"/>
      <c r="J139" s="3"/>
      <c r="K139" s="3"/>
    </row>
    <row r="140" spans="1:11">
      <c r="A140" s="15"/>
      <c r="B140" s="21"/>
      <c r="C140" s="3"/>
      <c r="D140" s="3"/>
      <c r="E140" s="3"/>
      <c r="F140" s="3"/>
      <c r="G140" s="1"/>
      <c r="H140" s="3"/>
      <c r="I140" s="1"/>
      <c r="J140" s="3"/>
      <c r="K140" s="3"/>
    </row>
    <row r="141" spans="1:11">
      <c r="A141" s="15"/>
      <c r="B141" s="21"/>
      <c r="C141" s="3"/>
      <c r="D141" s="3"/>
      <c r="E141" s="3"/>
      <c r="F141" s="3"/>
      <c r="G141" s="1"/>
      <c r="H141" s="3"/>
      <c r="I141" s="1"/>
      <c r="J141" s="3"/>
      <c r="K141" s="3"/>
    </row>
    <row r="142" spans="1:11">
      <c r="A142" s="15"/>
      <c r="B142" s="21"/>
      <c r="C142" s="3"/>
      <c r="D142" s="3"/>
      <c r="E142" s="3"/>
      <c r="F142" s="3"/>
      <c r="G142" s="1"/>
      <c r="H142" s="3"/>
      <c r="I142" s="1"/>
      <c r="J142" s="3"/>
      <c r="K142" s="3"/>
    </row>
    <row r="143" spans="1:11">
      <c r="A143" s="15"/>
      <c r="B143" s="21"/>
      <c r="C143" s="3"/>
      <c r="D143" s="3"/>
      <c r="E143" s="3"/>
      <c r="F143" s="3"/>
      <c r="G143" s="1"/>
      <c r="H143" s="3"/>
      <c r="I143" s="1"/>
      <c r="J143" s="3"/>
      <c r="K143" s="3"/>
    </row>
    <row r="144" spans="1:11">
      <c r="A144" s="15"/>
      <c r="B144" s="21"/>
      <c r="C144" s="3"/>
      <c r="D144" s="3"/>
      <c r="E144" s="3"/>
      <c r="F144" s="3"/>
      <c r="G144" s="1"/>
      <c r="H144" s="3"/>
      <c r="I144" s="1"/>
      <c r="J144" s="3"/>
      <c r="K144" s="3"/>
    </row>
    <row r="145" spans="1:11">
      <c r="A145" s="15"/>
      <c r="B145" s="21"/>
      <c r="C145" s="3"/>
      <c r="D145" s="3"/>
      <c r="E145" s="3"/>
      <c r="F145" s="3"/>
      <c r="G145" s="1"/>
      <c r="H145" s="3"/>
      <c r="I145" s="1"/>
      <c r="J145" s="3"/>
      <c r="K145" s="3"/>
    </row>
    <row r="146" spans="1:11">
      <c r="A146" s="15"/>
      <c r="B146" s="21"/>
      <c r="C146" s="3"/>
      <c r="D146" s="3"/>
      <c r="E146" s="3"/>
      <c r="F146" s="3"/>
      <c r="G146" s="1"/>
      <c r="H146" s="3"/>
      <c r="I146" s="1"/>
      <c r="J146" s="3"/>
      <c r="K146" s="3"/>
    </row>
    <row r="147" spans="1:11">
      <c r="A147" s="15"/>
      <c r="B147" s="21"/>
      <c r="C147" s="3"/>
      <c r="D147" s="3"/>
      <c r="E147" s="3"/>
      <c r="F147" s="3"/>
      <c r="G147" s="1"/>
      <c r="H147" s="3"/>
      <c r="I147" s="1"/>
      <c r="J147" s="3"/>
      <c r="K147" s="3"/>
    </row>
    <row r="148" spans="1:11">
      <c r="A148" s="15"/>
      <c r="B148" s="21"/>
      <c r="C148" s="3"/>
      <c r="D148" s="3"/>
      <c r="E148" s="3"/>
      <c r="F148" s="3"/>
      <c r="G148" s="1"/>
      <c r="H148" s="3"/>
      <c r="I148" s="1"/>
      <c r="J148" s="3"/>
      <c r="K148" s="3"/>
    </row>
    <row r="149" spans="1:11">
      <c r="A149" s="15"/>
      <c r="B149" s="21"/>
      <c r="C149" s="3"/>
      <c r="D149" s="3"/>
      <c r="E149" s="3"/>
      <c r="F149" s="3"/>
      <c r="G149" s="1"/>
      <c r="H149" s="3"/>
      <c r="I149" s="1"/>
      <c r="J149" s="3"/>
      <c r="K149" s="3"/>
    </row>
    <row r="150" spans="1:11">
      <c r="A150" s="15"/>
      <c r="B150" s="21"/>
      <c r="C150" s="3"/>
      <c r="D150" s="3"/>
      <c r="E150" s="3"/>
      <c r="F150" s="3"/>
      <c r="G150" s="1"/>
      <c r="H150" s="3"/>
      <c r="I150" s="1"/>
      <c r="J150" s="3"/>
      <c r="K150" s="3"/>
    </row>
    <row r="151" spans="1:11">
      <c r="A151" s="15"/>
      <c r="B151" s="21"/>
      <c r="C151" s="3"/>
      <c r="D151" s="3"/>
      <c r="E151" s="3"/>
      <c r="F151" s="3"/>
      <c r="G151" s="1"/>
      <c r="H151" s="3"/>
      <c r="I151" s="1"/>
      <c r="J151" s="3"/>
      <c r="K151" s="3"/>
    </row>
    <row r="152" spans="1:11">
      <c r="A152" s="15"/>
      <c r="B152" s="21"/>
      <c r="C152" s="3"/>
      <c r="D152" s="3"/>
      <c r="E152" s="3"/>
      <c r="F152" s="3"/>
      <c r="G152" s="1"/>
      <c r="H152" s="3"/>
      <c r="I152" s="1"/>
      <c r="J152" s="3"/>
      <c r="K152" s="3"/>
    </row>
    <row r="153" spans="1:11">
      <c r="A153" s="15"/>
      <c r="B153" s="21"/>
      <c r="C153" s="3"/>
      <c r="D153" s="3"/>
      <c r="E153" s="3"/>
      <c r="F153" s="3"/>
      <c r="G153" s="1"/>
      <c r="H153" s="3"/>
      <c r="I153" s="1"/>
      <c r="J153" s="3"/>
      <c r="K153" s="3"/>
    </row>
    <row r="154" spans="1:11">
      <c r="A154" s="15"/>
      <c r="B154" s="21"/>
      <c r="C154" s="3"/>
      <c r="D154" s="3"/>
      <c r="E154" s="3"/>
      <c r="F154" s="3"/>
      <c r="G154" s="1"/>
      <c r="H154" s="3"/>
      <c r="I154" s="1"/>
      <c r="J154" s="3"/>
      <c r="K154" s="3"/>
    </row>
    <row r="155" spans="1:11">
      <c r="A155" s="15"/>
      <c r="B155" s="21"/>
      <c r="C155" s="3"/>
      <c r="D155" s="3"/>
      <c r="E155" s="3"/>
      <c r="F155" s="3"/>
      <c r="G155" s="1"/>
      <c r="H155" s="3"/>
      <c r="I155" s="1"/>
      <c r="J155" s="3"/>
      <c r="K155" s="3"/>
    </row>
    <row r="156" spans="1:11">
      <c r="A156" s="15"/>
      <c r="B156" s="21"/>
      <c r="C156" s="3"/>
      <c r="D156" s="3"/>
      <c r="E156" s="3"/>
      <c r="F156" s="3"/>
      <c r="G156" s="1"/>
      <c r="H156" s="3"/>
      <c r="I156" s="1"/>
      <c r="J156" s="3"/>
      <c r="K156" s="3"/>
    </row>
    <row r="157" spans="1:11">
      <c r="A157" s="15"/>
      <c r="B157" s="21"/>
      <c r="C157" s="3"/>
      <c r="D157" s="3"/>
      <c r="E157" s="3"/>
      <c r="F157" s="3"/>
      <c r="G157" s="1"/>
      <c r="H157" s="3"/>
      <c r="I157" s="1"/>
      <c r="J157" s="3"/>
      <c r="K157" s="3"/>
    </row>
    <row r="158" spans="1:11">
      <c r="A158" s="15"/>
      <c r="B158" s="21"/>
      <c r="C158" s="3"/>
      <c r="D158" s="3"/>
      <c r="E158" s="3"/>
      <c r="F158" s="3"/>
      <c r="G158" s="1"/>
      <c r="H158" s="3"/>
      <c r="I158" s="1"/>
      <c r="J158" s="3"/>
      <c r="K158" s="3"/>
    </row>
    <row r="159" spans="1:11">
      <c r="A159" s="15"/>
      <c r="B159" s="21"/>
      <c r="C159" s="3"/>
      <c r="D159" s="3"/>
      <c r="E159" s="3"/>
      <c r="F159" s="3"/>
      <c r="G159" s="1"/>
      <c r="H159" s="3"/>
      <c r="I159" s="1"/>
      <c r="J159" s="3"/>
      <c r="K159" s="3"/>
    </row>
    <row r="160" spans="1:11">
      <c r="A160" s="15"/>
      <c r="B160" s="21"/>
      <c r="C160" s="3"/>
      <c r="D160" s="3"/>
      <c r="E160" s="3"/>
      <c r="F160" s="3"/>
      <c r="G160" s="1"/>
      <c r="H160" s="3"/>
      <c r="I160" s="1"/>
      <c r="J160" s="3"/>
      <c r="K160" s="3"/>
    </row>
    <row r="161" spans="1:11">
      <c r="A161" s="15"/>
      <c r="B161" s="21"/>
      <c r="C161" s="3"/>
      <c r="D161" s="3"/>
      <c r="E161" s="3"/>
      <c r="F161" s="3"/>
      <c r="G161" s="1"/>
      <c r="H161" s="3"/>
      <c r="I161" s="1"/>
      <c r="J161" s="3"/>
      <c r="K161" s="3"/>
    </row>
    <row r="162" spans="1:11">
      <c r="A162" s="15"/>
      <c r="B162" s="21"/>
      <c r="C162" s="3"/>
      <c r="D162" s="3"/>
      <c r="E162" s="3"/>
      <c r="F162" s="3"/>
      <c r="G162" s="1"/>
      <c r="H162" s="3"/>
      <c r="I162" s="1"/>
      <c r="J162" s="3"/>
      <c r="K162" s="3"/>
    </row>
    <row r="163" spans="1:11">
      <c r="A163" s="15"/>
      <c r="B163" s="21"/>
      <c r="C163" s="3"/>
      <c r="D163" s="3"/>
      <c r="E163" s="3"/>
      <c r="F163" s="3"/>
      <c r="G163" s="1"/>
      <c r="H163" s="3"/>
      <c r="I163" s="1"/>
      <c r="J163" s="3"/>
      <c r="K163" s="3"/>
    </row>
    <row r="164" spans="1:11">
      <c r="A164" s="15"/>
      <c r="B164" s="21"/>
      <c r="C164" s="3"/>
      <c r="D164" s="3"/>
      <c r="E164" s="3"/>
      <c r="F164" s="3"/>
      <c r="G164" s="1"/>
      <c r="H164" s="3"/>
      <c r="I164" s="1"/>
      <c r="J164" s="3"/>
      <c r="K164" s="3"/>
    </row>
    <row r="165" spans="1:11">
      <c r="A165" s="15"/>
      <c r="B165" s="21"/>
      <c r="C165" s="3"/>
      <c r="D165" s="3"/>
      <c r="E165" s="3"/>
      <c r="F165" s="3"/>
      <c r="G165" s="1"/>
      <c r="H165" s="3"/>
      <c r="I165" s="1"/>
      <c r="J165" s="3"/>
      <c r="K165" s="3"/>
    </row>
    <row r="166" spans="1:11">
      <c r="A166" s="15"/>
      <c r="B166" s="21"/>
      <c r="C166" s="3"/>
      <c r="D166" s="3"/>
      <c r="E166" s="3"/>
      <c r="F166" s="3"/>
      <c r="G166" s="1"/>
      <c r="H166" s="3"/>
      <c r="I166" s="1"/>
      <c r="J166" s="3"/>
      <c r="K166" s="3"/>
    </row>
    <row r="167" spans="1:11">
      <c r="A167" s="15"/>
      <c r="B167" s="21"/>
      <c r="C167" s="3"/>
      <c r="D167" s="3"/>
      <c r="E167" s="3"/>
      <c r="F167" s="3"/>
      <c r="G167" s="1"/>
      <c r="H167" s="3"/>
      <c r="I167" s="1"/>
      <c r="J167" s="3"/>
      <c r="K167" s="3"/>
    </row>
    <row r="168" spans="1:11">
      <c r="A168" s="15"/>
      <c r="B168" s="21"/>
      <c r="C168" s="3"/>
      <c r="D168" s="3"/>
      <c r="E168" s="3"/>
      <c r="F168" s="3"/>
      <c r="G168" s="1"/>
      <c r="H168" s="3"/>
      <c r="I168" s="1"/>
      <c r="J168" s="3"/>
      <c r="K168" s="3"/>
    </row>
    <row r="169" spans="1:11">
      <c r="A169" s="15"/>
      <c r="B169" s="21"/>
      <c r="C169" s="3"/>
      <c r="D169" s="3"/>
      <c r="E169" s="3"/>
      <c r="F169" s="3"/>
      <c r="G169" s="1"/>
      <c r="H169" s="3"/>
      <c r="I169" s="1"/>
      <c r="J169" s="3"/>
      <c r="K169" s="3"/>
    </row>
    <row r="170" spans="1:11">
      <c r="A170" s="15"/>
      <c r="B170" s="21"/>
      <c r="C170" s="3"/>
      <c r="D170" s="3"/>
      <c r="E170" s="3"/>
      <c r="F170" s="3"/>
      <c r="G170" s="1"/>
      <c r="H170" s="3"/>
      <c r="I170" s="1"/>
      <c r="J170" s="3"/>
      <c r="K170" s="3"/>
    </row>
    <row r="171" spans="1:11">
      <c r="A171" s="15"/>
      <c r="B171" s="21"/>
      <c r="C171" s="3"/>
      <c r="D171" s="3"/>
      <c r="E171" s="3"/>
      <c r="F171" s="3"/>
      <c r="G171" s="1"/>
      <c r="H171" s="3"/>
      <c r="I171" s="1"/>
      <c r="J171" s="3"/>
      <c r="K171" s="3"/>
    </row>
    <row r="172" spans="1:11">
      <c r="A172" s="15"/>
      <c r="B172" s="21"/>
      <c r="C172" s="3"/>
      <c r="D172" s="3"/>
      <c r="E172" s="3"/>
      <c r="F172" s="3"/>
      <c r="G172" s="1"/>
      <c r="H172" s="3"/>
      <c r="I172" s="1"/>
      <c r="J172" s="3"/>
      <c r="K172" s="3"/>
    </row>
    <row r="173" spans="1:11">
      <c r="A173" s="15"/>
      <c r="B173" s="21"/>
      <c r="C173" s="3"/>
      <c r="D173" s="3"/>
      <c r="E173" s="3"/>
      <c r="F173" s="3"/>
      <c r="G173" s="1"/>
      <c r="H173" s="3"/>
      <c r="I173" s="1"/>
      <c r="J173" s="3"/>
      <c r="K173" s="3"/>
    </row>
    <row r="174" spans="1:11">
      <c r="A174" s="15"/>
      <c r="B174" s="21"/>
      <c r="C174" s="3"/>
      <c r="D174" s="3"/>
      <c r="E174" s="3"/>
      <c r="F174" s="3"/>
      <c r="G174" s="1"/>
      <c r="H174" s="3"/>
      <c r="I174" s="1"/>
      <c r="J174" s="3"/>
      <c r="K174" s="3"/>
    </row>
    <row r="175" spans="1:11">
      <c r="A175" s="15"/>
      <c r="B175" s="21"/>
      <c r="C175" s="3"/>
      <c r="D175" s="3"/>
      <c r="E175" s="3"/>
      <c r="F175" s="3"/>
      <c r="G175" s="1"/>
      <c r="H175" s="3"/>
      <c r="I175" s="1"/>
      <c r="J175" s="3"/>
      <c r="K175" s="3"/>
    </row>
    <row r="176" spans="1:11">
      <c r="A176" s="15"/>
      <c r="B176" s="21"/>
      <c r="C176" s="3"/>
      <c r="D176" s="3"/>
      <c r="E176" s="3"/>
      <c r="F176" s="3"/>
      <c r="G176" s="1"/>
      <c r="H176" s="3"/>
      <c r="I176" s="1"/>
      <c r="J176" s="3"/>
      <c r="K176" s="3"/>
    </row>
    <row r="177" spans="1:11">
      <c r="A177" s="15"/>
      <c r="B177" s="21"/>
      <c r="C177" s="3"/>
      <c r="D177" s="3"/>
      <c r="E177" s="3"/>
      <c r="F177" s="3"/>
      <c r="G177" s="1"/>
      <c r="H177" s="3"/>
      <c r="I177" s="1"/>
      <c r="J177" s="3"/>
      <c r="K177" s="3"/>
    </row>
    <row r="178" spans="1:11">
      <c r="A178" s="15"/>
      <c r="B178" s="21"/>
      <c r="C178" s="3"/>
      <c r="D178" s="3"/>
      <c r="E178" s="3"/>
      <c r="F178" s="3"/>
      <c r="G178" s="1"/>
      <c r="H178" s="3"/>
      <c r="I178" s="1"/>
      <c r="J178" s="3"/>
      <c r="K178" s="3"/>
    </row>
    <row r="179" spans="1:11">
      <c r="A179" s="15"/>
      <c r="B179" s="21"/>
      <c r="C179" s="3"/>
      <c r="D179" s="3"/>
      <c r="E179" s="3"/>
      <c r="F179" s="3"/>
      <c r="G179" s="1"/>
      <c r="H179" s="3"/>
      <c r="I179" s="1"/>
      <c r="J179" s="3"/>
      <c r="K179" s="3"/>
    </row>
    <row r="180" spans="1:11">
      <c r="A180" s="15"/>
      <c r="B180" s="21"/>
      <c r="C180" s="3"/>
      <c r="D180" s="3"/>
      <c r="E180" s="3"/>
      <c r="F180" s="3"/>
      <c r="G180" s="1"/>
      <c r="H180" s="3"/>
      <c r="I180" s="1"/>
      <c r="J180" s="3"/>
      <c r="K180" s="3"/>
    </row>
    <row r="181" spans="1:11">
      <c r="A181" s="15"/>
      <c r="B181" s="21"/>
      <c r="C181" s="3"/>
      <c r="D181" s="3"/>
      <c r="E181" s="3"/>
      <c r="F181" s="3"/>
      <c r="G181" s="1"/>
      <c r="H181" s="3"/>
      <c r="I181" s="1"/>
      <c r="J181" s="3"/>
      <c r="K181" s="3"/>
    </row>
    <row r="182" spans="1:11">
      <c r="A182" s="15"/>
      <c r="B182" s="21"/>
      <c r="C182" s="3"/>
      <c r="D182" s="3"/>
      <c r="E182" s="3"/>
      <c r="F182" s="3"/>
      <c r="G182" s="1"/>
      <c r="H182" s="3"/>
      <c r="I182" s="1"/>
      <c r="J182" s="3"/>
      <c r="K182" s="3"/>
    </row>
    <row r="183" spans="1:11">
      <c r="A183" s="15"/>
      <c r="B183" s="21"/>
      <c r="C183" s="3"/>
      <c r="D183" s="3"/>
      <c r="E183" s="3"/>
      <c r="F183" s="3"/>
      <c r="G183" s="1"/>
      <c r="H183" s="3"/>
      <c r="I183" s="1"/>
      <c r="J183" s="3"/>
      <c r="K183" s="3"/>
    </row>
    <row r="184" spans="1:11">
      <c r="A184" s="15"/>
      <c r="B184" s="21"/>
      <c r="C184" s="3"/>
      <c r="D184" s="3"/>
      <c r="E184" s="3"/>
      <c r="F184" s="3"/>
      <c r="G184" s="1"/>
      <c r="H184" s="3"/>
      <c r="I184" s="1"/>
      <c r="J184" s="3"/>
      <c r="K184" s="3"/>
    </row>
    <row r="185" spans="1:11">
      <c r="A185" s="15"/>
      <c r="B185" s="21"/>
      <c r="C185" s="3"/>
      <c r="D185" s="3"/>
      <c r="E185" s="3"/>
      <c r="F185" s="3"/>
      <c r="G185" s="1"/>
      <c r="H185" s="3"/>
      <c r="I185" s="1"/>
      <c r="J185" s="3"/>
      <c r="K185" s="3"/>
    </row>
    <row r="186" spans="1:11">
      <c r="A186" s="15"/>
      <c r="B186" s="21"/>
      <c r="C186" s="3"/>
      <c r="D186" s="3"/>
      <c r="E186" s="3"/>
      <c r="F186" s="3"/>
      <c r="G186" s="1"/>
      <c r="H186" s="3"/>
      <c r="I186" s="1"/>
      <c r="J186" s="3"/>
      <c r="K186" s="3"/>
    </row>
    <row r="187" spans="1:11">
      <c r="A187" s="15"/>
      <c r="B187" s="21"/>
      <c r="C187" s="3"/>
      <c r="D187" s="3"/>
      <c r="E187" s="3"/>
      <c r="F187" s="3"/>
      <c r="G187" s="1"/>
      <c r="H187" s="3"/>
      <c r="I187" s="1"/>
      <c r="J187" s="3"/>
      <c r="K187" s="3"/>
    </row>
    <row r="188" spans="1:11">
      <c r="A188" s="15"/>
      <c r="B188" s="21"/>
      <c r="C188" s="3"/>
      <c r="D188" s="3"/>
      <c r="E188" s="3"/>
      <c r="F188" s="3"/>
      <c r="G188" s="1"/>
      <c r="H188" s="3"/>
      <c r="I188" s="1"/>
      <c r="J188" s="3"/>
      <c r="K188" s="3"/>
    </row>
    <row r="189" spans="1:11">
      <c r="A189" s="15"/>
      <c r="B189" s="21"/>
      <c r="C189" s="3"/>
      <c r="D189" s="3"/>
      <c r="E189" s="3"/>
      <c r="F189" s="3"/>
      <c r="G189" s="1"/>
      <c r="H189" s="3"/>
      <c r="I189" s="1"/>
      <c r="J189" s="3"/>
      <c r="K189" s="3"/>
    </row>
    <row r="190" spans="1:11">
      <c r="A190" s="15"/>
      <c r="B190" s="21"/>
      <c r="C190" s="3"/>
      <c r="D190" s="3"/>
      <c r="E190" s="3"/>
      <c r="F190" s="3"/>
      <c r="G190" s="1"/>
      <c r="H190" s="3"/>
      <c r="I190" s="1"/>
      <c r="J190" s="3"/>
      <c r="K190" s="3"/>
    </row>
    <row r="191" spans="1:11">
      <c r="A191" s="15"/>
      <c r="B191" s="21"/>
      <c r="C191" s="3"/>
      <c r="D191" s="3"/>
      <c r="E191" s="3"/>
      <c r="F191" s="3"/>
      <c r="G191" s="1"/>
      <c r="H191" s="3"/>
      <c r="I191" s="1"/>
      <c r="J191" s="3"/>
      <c r="K191" s="3"/>
    </row>
    <row r="192" spans="1:11">
      <c r="A192" s="15"/>
      <c r="B192" s="21"/>
      <c r="C192" s="3"/>
      <c r="D192" s="3"/>
      <c r="E192" s="3"/>
      <c r="F192" s="3"/>
      <c r="G192" s="1"/>
      <c r="H192" s="3"/>
      <c r="I192" s="1"/>
      <c r="J192" s="3"/>
      <c r="K192" s="3"/>
    </row>
    <row r="193" spans="1:11">
      <c r="A193" s="15"/>
      <c r="B193" s="21"/>
      <c r="C193" s="3"/>
      <c r="D193" s="3"/>
      <c r="E193" s="3"/>
      <c r="F193" s="3"/>
      <c r="G193" s="1"/>
      <c r="H193" s="3"/>
      <c r="I193" s="1"/>
      <c r="J193" s="3"/>
      <c r="K193" s="3"/>
    </row>
    <row r="194" spans="1:11">
      <c r="A194" s="15"/>
      <c r="B194" s="21"/>
      <c r="C194" s="3"/>
      <c r="D194" s="3"/>
      <c r="E194" s="3"/>
      <c r="F194" s="3"/>
      <c r="G194" s="1"/>
      <c r="H194" s="3"/>
      <c r="I194" s="1"/>
      <c r="J194" s="3"/>
      <c r="K194" s="3"/>
    </row>
    <row r="195" spans="1:11">
      <c r="A195" s="15"/>
      <c r="B195" s="21"/>
      <c r="C195" s="3"/>
      <c r="D195" s="3"/>
      <c r="E195" s="3"/>
      <c r="F195" s="3"/>
      <c r="G195" s="1"/>
      <c r="H195" s="3"/>
      <c r="I195" s="1"/>
      <c r="J195" s="3"/>
      <c r="K195" s="3"/>
    </row>
    <row r="196" spans="1:11">
      <c r="A196" s="15"/>
      <c r="B196" s="21"/>
      <c r="C196" s="3"/>
      <c r="D196" s="3"/>
      <c r="E196" s="3"/>
      <c r="F196" s="3"/>
      <c r="G196" s="1"/>
      <c r="H196" s="3"/>
      <c r="I196" s="1"/>
      <c r="J196" s="3"/>
      <c r="K196" s="3"/>
    </row>
    <row r="197" spans="1:11">
      <c r="A197" s="15"/>
      <c r="B197" s="21"/>
      <c r="C197" s="3"/>
      <c r="D197" s="3"/>
      <c r="E197" s="3"/>
      <c r="F197" s="3"/>
      <c r="G197" s="1"/>
      <c r="H197" s="3"/>
      <c r="I197" s="1"/>
      <c r="J197" s="3"/>
      <c r="K197" s="3"/>
    </row>
    <row r="198" spans="1:11">
      <c r="A198" s="15"/>
      <c r="B198" s="21"/>
      <c r="C198" s="3"/>
      <c r="D198" s="3"/>
      <c r="E198" s="3"/>
      <c r="F198" s="3"/>
      <c r="G198" s="1"/>
      <c r="H198" s="3"/>
      <c r="I198" s="1"/>
      <c r="J198" s="3"/>
      <c r="K198" s="3"/>
    </row>
    <row r="199" spans="1:11">
      <c r="A199" s="15"/>
      <c r="B199" s="21"/>
      <c r="C199" s="3"/>
      <c r="D199" s="3"/>
      <c r="E199" s="3"/>
      <c r="F199" s="3"/>
      <c r="G199" s="1"/>
      <c r="H199" s="3"/>
      <c r="I199" s="1"/>
      <c r="J199" s="3"/>
      <c r="K199" s="3"/>
    </row>
    <row r="200" spans="1:11">
      <c r="A200" s="15"/>
      <c r="B200" s="21"/>
      <c r="C200" s="3"/>
      <c r="D200" s="3"/>
      <c r="E200" s="3"/>
      <c r="F200" s="3"/>
      <c r="G200" s="1"/>
      <c r="H200" s="3"/>
      <c r="I200" s="1"/>
      <c r="J200" s="3"/>
      <c r="K200" s="3"/>
    </row>
    <row r="201" spans="1:11">
      <c r="A201" s="15"/>
      <c r="B201" s="21"/>
      <c r="C201" s="3"/>
      <c r="D201" s="3"/>
      <c r="E201" s="3"/>
      <c r="F201" s="3"/>
      <c r="G201" s="1"/>
      <c r="H201" s="3"/>
      <c r="I201" s="1"/>
      <c r="J201" s="3"/>
      <c r="K201" s="3"/>
    </row>
    <row r="202" spans="1:11">
      <c r="A202" s="15"/>
      <c r="B202" s="21"/>
      <c r="C202" s="3"/>
      <c r="D202" s="3"/>
      <c r="E202" s="3"/>
      <c r="F202" s="3"/>
      <c r="G202" s="1"/>
      <c r="H202" s="3"/>
      <c r="I202" s="1"/>
      <c r="J202" s="3"/>
      <c r="K202" s="3"/>
    </row>
    <row r="203" spans="1:11">
      <c r="A203" s="15"/>
      <c r="B203" s="21"/>
      <c r="C203" s="3"/>
      <c r="D203" s="3"/>
      <c r="E203" s="3"/>
      <c r="F203" s="3"/>
      <c r="G203" s="1"/>
      <c r="H203" s="3"/>
      <c r="I203" s="1"/>
      <c r="J203" s="3"/>
      <c r="K203" s="3"/>
    </row>
    <row r="204" spans="1:11">
      <c r="A204" s="15"/>
      <c r="B204" s="21"/>
      <c r="C204" s="3"/>
      <c r="D204" s="3"/>
      <c r="E204" s="3"/>
      <c r="F204" s="3"/>
      <c r="G204" s="1"/>
      <c r="H204" s="3"/>
      <c r="I204" s="1"/>
      <c r="J204" s="3"/>
      <c r="K204" s="3"/>
    </row>
    <row r="205" spans="1:11">
      <c r="A205" s="15"/>
      <c r="B205" s="21"/>
      <c r="C205" s="3"/>
      <c r="D205" s="3"/>
      <c r="E205" s="3"/>
      <c r="F205" s="3"/>
      <c r="G205" s="1"/>
      <c r="H205" s="3"/>
      <c r="I205" s="1"/>
      <c r="J205" s="3"/>
      <c r="K205" s="3"/>
    </row>
    <row r="206" spans="1:11">
      <c r="A206" s="15"/>
      <c r="B206" s="21"/>
      <c r="C206" s="3"/>
      <c r="D206" s="3"/>
      <c r="E206" s="3"/>
      <c r="F206" s="3"/>
      <c r="G206" s="1"/>
      <c r="H206" s="3"/>
      <c r="I206" s="1"/>
      <c r="J206" s="3"/>
      <c r="K206" s="3"/>
    </row>
    <row r="207" spans="1:11">
      <c r="A207" s="15"/>
      <c r="B207" s="21"/>
      <c r="C207" s="3"/>
      <c r="D207" s="3"/>
      <c r="E207" s="3"/>
      <c r="F207" s="3"/>
      <c r="G207" s="1"/>
      <c r="H207" s="3"/>
      <c r="I207" s="1"/>
      <c r="J207" s="3"/>
      <c r="K207" s="3"/>
    </row>
    <row r="208" spans="1:11">
      <c r="A208" s="15"/>
      <c r="B208" s="21"/>
      <c r="C208" s="3"/>
      <c r="D208" s="3"/>
      <c r="E208" s="3"/>
      <c r="F208" s="3"/>
      <c r="G208" s="1"/>
      <c r="H208" s="3"/>
      <c r="I208" s="1"/>
      <c r="J208" s="3"/>
      <c r="K208" s="3"/>
    </row>
    <row r="209" spans="1:11">
      <c r="A209" s="15"/>
      <c r="B209" s="21"/>
      <c r="C209" s="3"/>
      <c r="D209" s="3"/>
      <c r="E209" s="3"/>
      <c r="F209" s="3"/>
      <c r="G209" s="1"/>
      <c r="H209" s="3"/>
      <c r="I209" s="1"/>
      <c r="J209" s="3"/>
      <c r="K209" s="3"/>
    </row>
    <row r="210" spans="1:11">
      <c r="A210" s="15"/>
      <c r="B210" s="21"/>
      <c r="C210" s="3"/>
      <c r="D210" s="3"/>
      <c r="E210" s="3"/>
      <c r="F210" s="3"/>
      <c r="G210" s="1"/>
      <c r="H210" s="3"/>
      <c r="I210" s="1"/>
      <c r="J210" s="3"/>
      <c r="K210" s="3"/>
    </row>
    <row r="211" spans="1:11">
      <c r="A211" s="15"/>
      <c r="B211" s="21"/>
      <c r="C211" s="3"/>
      <c r="D211" s="3"/>
      <c r="E211" s="3"/>
      <c r="F211" s="3"/>
      <c r="G211" s="1"/>
      <c r="H211" s="3"/>
      <c r="I211" s="1"/>
      <c r="J211" s="3"/>
      <c r="K211" s="3"/>
    </row>
    <row r="212" spans="1:11">
      <c r="A212" s="15"/>
      <c r="B212" s="21"/>
      <c r="C212" s="3"/>
      <c r="D212" s="3"/>
      <c r="E212" s="3"/>
      <c r="F212" s="3"/>
      <c r="G212" s="1"/>
      <c r="H212" s="3"/>
      <c r="I212" s="1"/>
      <c r="J212" s="3"/>
      <c r="K212" s="3"/>
    </row>
    <row r="213" spans="1:11">
      <c r="A213" s="15"/>
      <c r="B213" s="21"/>
      <c r="C213" s="3"/>
      <c r="D213" s="3"/>
      <c r="E213" s="3"/>
      <c r="F213" s="3"/>
      <c r="G213" s="1"/>
      <c r="H213" s="3"/>
      <c r="I213" s="1"/>
      <c r="J213" s="3"/>
      <c r="K213" s="3"/>
    </row>
    <row r="214" spans="1:11">
      <c r="A214" s="15"/>
      <c r="B214" s="21"/>
      <c r="C214" s="3"/>
      <c r="D214" s="3"/>
      <c r="E214" s="3"/>
      <c r="F214" s="3"/>
      <c r="G214" s="1"/>
      <c r="H214" s="3"/>
      <c r="I214" s="1"/>
      <c r="J214" s="3"/>
      <c r="K214" s="3"/>
    </row>
    <row r="215" spans="1:11">
      <c r="A215" s="15"/>
      <c r="B215" s="21"/>
      <c r="C215" s="3"/>
      <c r="D215" s="3"/>
      <c r="E215" s="3"/>
      <c r="F215" s="3"/>
      <c r="G215" s="1"/>
      <c r="H215" s="3"/>
      <c r="I215" s="1"/>
      <c r="J215" s="3"/>
      <c r="K215" s="3"/>
    </row>
    <row r="216" spans="1:11">
      <c r="A216" s="15"/>
      <c r="B216" s="21"/>
      <c r="C216" s="3"/>
      <c r="D216" s="3"/>
      <c r="E216" s="3"/>
      <c r="F216" s="3"/>
      <c r="G216" s="1"/>
      <c r="H216" s="3"/>
      <c r="I216" s="1"/>
      <c r="J216" s="3"/>
      <c r="K216" s="3"/>
    </row>
    <row r="217" spans="1:11">
      <c r="A217" s="15"/>
      <c r="B217" s="21"/>
      <c r="C217" s="3"/>
      <c r="D217" s="3"/>
      <c r="E217" s="3"/>
      <c r="F217" s="3"/>
      <c r="G217" s="1"/>
      <c r="H217" s="3"/>
      <c r="I217" s="1"/>
      <c r="J217" s="3"/>
      <c r="K217" s="3"/>
    </row>
    <row r="218" spans="1:11">
      <c r="A218" s="15"/>
      <c r="B218" s="21"/>
      <c r="C218" s="3"/>
      <c r="D218" s="3"/>
      <c r="E218" s="3"/>
      <c r="F218" s="3"/>
      <c r="G218" s="1"/>
      <c r="H218" s="3"/>
      <c r="I218" s="1"/>
      <c r="J218" s="3"/>
      <c r="K218" s="3"/>
    </row>
    <row r="219" spans="1:11">
      <c r="A219" s="15"/>
      <c r="B219" s="21"/>
      <c r="C219" s="3"/>
      <c r="D219" s="3"/>
      <c r="E219" s="3"/>
      <c r="F219" s="3"/>
      <c r="G219" s="1"/>
      <c r="H219" s="3"/>
      <c r="I219" s="1"/>
      <c r="J219" s="3"/>
      <c r="K219" s="3"/>
    </row>
    <row r="220" spans="1:11">
      <c r="A220" s="15"/>
      <c r="B220" s="21"/>
      <c r="C220" s="3"/>
      <c r="D220" s="3"/>
      <c r="E220" s="3"/>
      <c r="F220" s="3"/>
      <c r="G220" s="1"/>
      <c r="H220" s="3"/>
      <c r="I220" s="1"/>
      <c r="J220" s="3"/>
      <c r="K220" s="3"/>
    </row>
    <row r="221" spans="1:11">
      <c r="A221" s="15"/>
      <c r="B221" s="21"/>
      <c r="C221" s="3"/>
      <c r="D221" s="3"/>
      <c r="E221" s="3"/>
      <c r="F221" s="3"/>
      <c r="G221" s="1"/>
      <c r="H221" s="3"/>
      <c r="I221" s="1"/>
      <c r="J221" s="3"/>
      <c r="K221" s="3"/>
    </row>
    <row r="222" spans="1:11">
      <c r="A222" s="15"/>
      <c r="B222" s="21"/>
      <c r="C222" s="3"/>
      <c r="D222" s="3"/>
      <c r="E222" s="3"/>
      <c r="F222" s="3"/>
      <c r="G222" s="1"/>
      <c r="H222" s="3"/>
      <c r="I222" s="1"/>
      <c r="J222" s="3"/>
      <c r="K222" s="3"/>
    </row>
    <row r="223" spans="1:11">
      <c r="A223" s="15"/>
      <c r="B223" s="21"/>
      <c r="C223" s="3"/>
      <c r="D223" s="3"/>
      <c r="E223" s="3"/>
      <c r="F223" s="3"/>
      <c r="G223" s="1"/>
      <c r="H223" s="3"/>
      <c r="I223" s="1"/>
      <c r="J223" s="3"/>
      <c r="K223" s="3"/>
    </row>
    <row r="224" spans="1:11">
      <c r="A224" s="15"/>
      <c r="B224" s="21"/>
      <c r="C224" s="3"/>
      <c r="D224" s="3"/>
      <c r="E224" s="3"/>
      <c r="F224" s="3"/>
      <c r="G224" s="1"/>
      <c r="H224" s="3"/>
      <c r="I224" s="1"/>
      <c r="J224" s="3"/>
      <c r="K224" s="3"/>
    </row>
    <row r="225" spans="1:11">
      <c r="A225" s="15"/>
      <c r="B225" s="21"/>
      <c r="C225" s="3"/>
      <c r="D225" s="3"/>
      <c r="E225" s="3"/>
      <c r="F225" s="3"/>
      <c r="G225" s="1"/>
      <c r="H225" s="3"/>
      <c r="I225" s="1"/>
      <c r="J225" s="3"/>
      <c r="K225" s="3"/>
    </row>
    <row r="226" spans="1:11">
      <c r="A226" s="15"/>
      <c r="B226" s="21"/>
      <c r="C226" s="3"/>
      <c r="D226" s="3"/>
      <c r="E226" s="3"/>
      <c r="F226" s="3"/>
      <c r="G226" s="1"/>
      <c r="H226" s="3"/>
      <c r="I226" s="1"/>
      <c r="J226" s="3"/>
      <c r="K226" s="3"/>
    </row>
    <row r="227" spans="1:11">
      <c r="A227" s="15"/>
      <c r="B227" s="21"/>
      <c r="C227" s="3"/>
      <c r="D227" s="3"/>
      <c r="E227" s="3"/>
      <c r="F227" s="3"/>
      <c r="G227" s="1"/>
      <c r="H227" s="3"/>
      <c r="I227" s="1"/>
      <c r="J227" s="3"/>
      <c r="K227" s="3"/>
    </row>
    <row r="228" spans="1:11">
      <c r="A228" s="15"/>
      <c r="B228" s="21"/>
      <c r="C228" s="3"/>
      <c r="D228" s="3"/>
      <c r="E228" s="3"/>
      <c r="F228" s="3"/>
      <c r="G228" s="1"/>
      <c r="H228" s="3"/>
      <c r="I228" s="1"/>
      <c r="J228" s="3"/>
      <c r="K228" s="3"/>
    </row>
    <row r="229" spans="1:11">
      <c r="A229" s="15"/>
      <c r="B229" s="21"/>
      <c r="C229" s="3"/>
      <c r="D229" s="3"/>
      <c r="E229" s="3"/>
      <c r="F229" s="3"/>
      <c r="G229" s="1"/>
      <c r="H229" s="3"/>
      <c r="I229" s="1"/>
      <c r="J229" s="3"/>
      <c r="K229" s="3"/>
    </row>
    <row r="230" spans="1:11">
      <c r="A230" s="15"/>
      <c r="B230" s="21"/>
      <c r="C230" s="3"/>
      <c r="D230" s="3"/>
      <c r="E230" s="3"/>
      <c r="F230" s="3"/>
      <c r="G230" s="1"/>
      <c r="H230" s="3"/>
      <c r="I230" s="1"/>
      <c r="J230" s="3"/>
      <c r="K230" s="3"/>
    </row>
    <row r="231" spans="1:11">
      <c r="A231" s="15"/>
      <c r="B231" s="21"/>
      <c r="C231" s="3"/>
      <c r="D231" s="3"/>
      <c r="E231" s="3"/>
      <c r="F231" s="3"/>
      <c r="G231" s="1"/>
      <c r="H231" s="3"/>
      <c r="I231" s="1"/>
      <c r="J231" s="3"/>
      <c r="K231" s="3"/>
    </row>
    <row r="232" spans="1:11">
      <c r="A232" s="15"/>
      <c r="B232" s="21"/>
      <c r="C232" s="3"/>
      <c r="D232" s="3"/>
      <c r="E232" s="3"/>
      <c r="F232" s="3"/>
      <c r="G232" s="1"/>
      <c r="H232" s="3"/>
      <c r="I232" s="1"/>
      <c r="J232" s="3"/>
      <c r="K232" s="3"/>
    </row>
    <row r="233" spans="1:11">
      <c r="A233" s="15"/>
      <c r="B233" s="21"/>
      <c r="C233" s="3"/>
      <c r="D233" s="3"/>
      <c r="E233" s="3"/>
      <c r="F233" s="3"/>
      <c r="G233" s="1"/>
      <c r="H233" s="3"/>
      <c r="I233" s="1"/>
      <c r="J233" s="3"/>
      <c r="K233" s="3"/>
    </row>
    <row r="234" spans="1:11">
      <c r="A234" s="15"/>
      <c r="B234" s="21"/>
      <c r="C234" s="3"/>
      <c r="D234" s="3"/>
      <c r="E234" s="3"/>
      <c r="F234" s="3"/>
      <c r="G234" s="1"/>
      <c r="H234" s="3"/>
      <c r="I234" s="1"/>
      <c r="J234" s="3"/>
      <c r="K234" s="3"/>
    </row>
    <row r="235" spans="1:11">
      <c r="A235" s="15"/>
      <c r="B235" s="21"/>
      <c r="C235" s="3"/>
      <c r="D235" s="3"/>
      <c r="E235" s="3"/>
      <c r="F235" s="3"/>
      <c r="G235" s="1"/>
      <c r="H235" s="3"/>
      <c r="I235" s="1"/>
      <c r="J235" s="3"/>
      <c r="K235" s="3"/>
    </row>
    <row r="236" spans="1:11">
      <c r="A236" s="15"/>
      <c r="B236" s="21"/>
      <c r="C236" s="3"/>
      <c r="D236" s="3"/>
      <c r="E236" s="3"/>
      <c r="F236" s="3"/>
      <c r="G236" s="1"/>
      <c r="H236" s="3"/>
      <c r="I236" s="1"/>
      <c r="J236" s="3"/>
      <c r="K236" s="3"/>
    </row>
    <row r="237" spans="1:11">
      <c r="A237" s="15"/>
      <c r="B237" s="21"/>
      <c r="C237" s="3"/>
      <c r="D237" s="3"/>
      <c r="E237" s="3"/>
      <c r="F237" s="3"/>
      <c r="G237" s="1"/>
      <c r="H237" s="3"/>
      <c r="I237" s="1"/>
      <c r="J237" s="3"/>
      <c r="K237" s="3"/>
    </row>
    <row r="238" spans="1:11">
      <c r="A238" s="15"/>
      <c r="B238" s="21"/>
      <c r="C238" s="3"/>
      <c r="D238" s="3"/>
      <c r="E238" s="3"/>
      <c r="F238" s="3"/>
      <c r="G238" s="1"/>
      <c r="H238" s="3"/>
      <c r="I238" s="1"/>
      <c r="J238" s="3"/>
      <c r="K238" s="3"/>
    </row>
    <row r="239" spans="1:11">
      <c r="A239" s="15"/>
      <c r="B239" s="21"/>
      <c r="C239" s="3"/>
      <c r="D239" s="3"/>
      <c r="E239" s="3"/>
      <c r="F239" s="3"/>
      <c r="G239" s="1"/>
      <c r="H239" s="3"/>
      <c r="I239" s="1"/>
      <c r="J239" s="3"/>
      <c r="K239" s="3"/>
    </row>
    <row r="240" spans="1:11">
      <c r="A240" s="15"/>
      <c r="B240" s="21"/>
      <c r="C240" s="3"/>
      <c r="D240" s="3"/>
      <c r="E240" s="3"/>
      <c r="F240" s="3"/>
      <c r="G240" s="1"/>
      <c r="H240" s="3"/>
      <c r="I240" s="1"/>
      <c r="J240" s="3"/>
      <c r="K240" s="3"/>
    </row>
    <row r="241" spans="1:11">
      <c r="A241" s="15"/>
      <c r="B241" s="21"/>
      <c r="C241" s="3"/>
      <c r="D241" s="3"/>
      <c r="E241" s="3"/>
      <c r="F241" s="3"/>
      <c r="G241" s="1"/>
      <c r="H241" s="3"/>
      <c r="I241" s="1"/>
      <c r="J241" s="3"/>
      <c r="K241" s="3"/>
    </row>
    <row r="242" spans="1:11">
      <c r="A242" s="15"/>
      <c r="B242" s="21"/>
      <c r="C242" s="3"/>
      <c r="D242" s="3"/>
      <c r="E242" s="3"/>
      <c r="F242" s="3"/>
      <c r="G242" s="1"/>
      <c r="H242" s="3"/>
      <c r="I242" s="1"/>
      <c r="J242" s="3"/>
      <c r="K242" s="3"/>
    </row>
    <row r="243" spans="1:11">
      <c r="A243" s="15"/>
      <c r="B243" s="21"/>
      <c r="C243" s="3"/>
      <c r="D243" s="3"/>
      <c r="E243" s="3"/>
      <c r="F243" s="3"/>
      <c r="G243" s="1"/>
      <c r="H243" s="3"/>
      <c r="I243" s="1"/>
      <c r="J243" s="3"/>
      <c r="K243" s="3"/>
    </row>
    <row r="244" spans="1:11">
      <c r="A244" s="15"/>
      <c r="B244" s="21"/>
      <c r="C244" s="3"/>
      <c r="D244" s="3"/>
      <c r="E244" s="3"/>
      <c r="F244" s="3"/>
      <c r="G244" s="1"/>
      <c r="H244" s="3"/>
      <c r="I244" s="1"/>
      <c r="J244" s="3"/>
      <c r="K244" s="3"/>
    </row>
    <row r="245" spans="1:11">
      <c r="A245" s="15"/>
      <c r="B245" s="21"/>
      <c r="C245" s="3"/>
      <c r="D245" s="3"/>
      <c r="E245" s="3"/>
      <c r="F245" s="3"/>
      <c r="G245" s="1"/>
      <c r="H245" s="3"/>
      <c r="I245" s="1"/>
      <c r="J245" s="3"/>
      <c r="K245" s="3"/>
    </row>
    <row r="246" spans="1:11">
      <c r="A246" s="15"/>
      <c r="B246" s="21"/>
      <c r="C246" s="3"/>
      <c r="D246" s="3"/>
      <c r="E246" s="3"/>
      <c r="F246" s="3"/>
      <c r="G246" s="1"/>
      <c r="H246" s="3"/>
      <c r="I246" s="1"/>
      <c r="J246" s="3"/>
      <c r="K246" s="3"/>
    </row>
    <row r="247" spans="1:11">
      <c r="A247" s="15"/>
      <c r="B247" s="21"/>
      <c r="C247" s="3"/>
      <c r="D247" s="3"/>
      <c r="E247" s="3"/>
      <c r="F247" s="3"/>
      <c r="G247" s="1"/>
      <c r="H247" s="3"/>
      <c r="I247" s="1"/>
      <c r="J247" s="3"/>
      <c r="K247" s="3"/>
    </row>
    <row r="248" spans="1:11">
      <c r="A248" s="15"/>
      <c r="B248" s="21"/>
      <c r="C248" s="3"/>
      <c r="D248" s="3"/>
      <c r="E248" s="3"/>
      <c r="F248" s="3"/>
      <c r="G248" s="1"/>
      <c r="H248" s="3"/>
      <c r="I248" s="1"/>
      <c r="J248" s="3"/>
      <c r="K248" s="3"/>
    </row>
    <row r="249" spans="1:11">
      <c r="A249" s="15"/>
      <c r="B249" s="21"/>
      <c r="C249" s="3"/>
      <c r="D249" s="3"/>
      <c r="E249" s="3"/>
      <c r="F249" s="3"/>
      <c r="G249" s="1"/>
      <c r="H249" s="3"/>
      <c r="I249" s="1"/>
      <c r="J249" s="3"/>
      <c r="K249" s="3"/>
    </row>
    <row r="250" spans="1:11">
      <c r="A250" s="15"/>
      <c r="B250" s="21"/>
      <c r="C250" s="3"/>
      <c r="D250" s="3"/>
      <c r="E250" s="3"/>
      <c r="F250" s="3"/>
      <c r="G250" s="1"/>
      <c r="H250" s="3"/>
      <c r="I250" s="1"/>
      <c r="J250" s="3"/>
      <c r="K250" s="3"/>
    </row>
    <row r="251" spans="1:11">
      <c r="A251" s="15"/>
      <c r="B251" s="21"/>
      <c r="C251" s="3"/>
      <c r="D251" s="3"/>
      <c r="E251" s="3"/>
      <c r="F251" s="3"/>
      <c r="G251" s="1"/>
      <c r="H251" s="3"/>
      <c r="I251" s="1"/>
      <c r="J251" s="3"/>
      <c r="K251" s="3"/>
    </row>
    <row r="252" spans="1:11">
      <c r="A252" s="15"/>
      <c r="B252" s="21"/>
      <c r="C252" s="3"/>
      <c r="D252" s="3"/>
      <c r="E252" s="3"/>
      <c r="F252" s="3"/>
      <c r="G252" s="1"/>
      <c r="H252" s="3"/>
      <c r="I252" s="1"/>
      <c r="J252" s="3"/>
      <c r="K252" s="3"/>
    </row>
    <row r="253" spans="1:11">
      <c r="A253" s="15"/>
      <c r="B253" s="21"/>
      <c r="C253" s="3"/>
      <c r="D253" s="3"/>
      <c r="E253" s="3"/>
      <c r="F253" s="3"/>
      <c r="G253" s="1"/>
      <c r="H253" s="3"/>
      <c r="I253" s="1"/>
      <c r="J253" s="3"/>
      <c r="K253" s="3"/>
    </row>
    <row r="254" spans="1:11">
      <c r="A254" s="15"/>
      <c r="B254" s="21"/>
      <c r="C254" s="3"/>
      <c r="D254" s="3"/>
      <c r="E254" s="3"/>
      <c r="F254" s="3"/>
      <c r="G254" s="1"/>
      <c r="H254" s="3"/>
      <c r="I254" s="1"/>
      <c r="J254" s="3"/>
      <c r="K254" s="3"/>
    </row>
    <row r="255" spans="1:11">
      <c r="A255" s="15"/>
      <c r="B255" s="21"/>
      <c r="C255" s="3"/>
      <c r="D255" s="3"/>
      <c r="E255" s="3"/>
      <c r="F255" s="3"/>
      <c r="G255" s="1"/>
      <c r="H255" s="3"/>
      <c r="I255" s="1"/>
      <c r="J255" s="3"/>
      <c r="K255" s="3"/>
    </row>
    <row r="256" spans="1:11">
      <c r="A256" s="15"/>
      <c r="B256" s="21"/>
      <c r="C256" s="3"/>
      <c r="D256" s="3"/>
      <c r="E256" s="3"/>
      <c r="F256" s="3"/>
      <c r="G256" s="1"/>
      <c r="H256" s="3"/>
      <c r="I256" s="1"/>
      <c r="J256" s="3"/>
      <c r="K256" s="3"/>
    </row>
    <row r="257" spans="1:11">
      <c r="A257" s="15"/>
      <c r="B257" s="21"/>
      <c r="C257" s="3"/>
      <c r="D257" s="3"/>
      <c r="E257" s="3"/>
      <c r="F257" s="3"/>
      <c r="G257" s="1"/>
      <c r="H257" s="3"/>
      <c r="I257" s="1"/>
      <c r="J257" s="3"/>
      <c r="K257" s="3"/>
    </row>
    <row r="258" spans="1:11">
      <c r="A258" s="15"/>
      <c r="B258" s="21"/>
      <c r="C258" s="3"/>
      <c r="D258" s="3"/>
      <c r="E258" s="3"/>
      <c r="F258" s="3"/>
      <c r="G258" s="1"/>
      <c r="H258" s="3"/>
      <c r="I258" s="1"/>
      <c r="J258" s="3"/>
      <c r="K258" s="3"/>
    </row>
    <row r="259" spans="1:11">
      <c r="A259" s="15"/>
      <c r="B259" s="21"/>
      <c r="C259" s="3"/>
      <c r="D259" s="3"/>
      <c r="E259" s="3"/>
      <c r="F259" s="3"/>
      <c r="G259" s="1"/>
      <c r="H259" s="3"/>
      <c r="I259" s="1"/>
      <c r="J259" s="3"/>
      <c r="K259" s="3"/>
    </row>
    <row r="260" spans="1:11">
      <c r="A260" s="15"/>
      <c r="B260" s="21"/>
      <c r="C260" s="3"/>
      <c r="D260" s="3"/>
      <c r="E260" s="3"/>
      <c r="F260" s="3"/>
      <c r="G260" s="1"/>
      <c r="H260" s="3"/>
      <c r="I260" s="1"/>
      <c r="J260" s="3"/>
      <c r="K260" s="3"/>
    </row>
    <row r="261" spans="1:11">
      <c r="A261" s="15"/>
      <c r="B261" s="21"/>
      <c r="C261" s="3"/>
      <c r="D261" s="3"/>
      <c r="E261" s="3"/>
      <c r="F261" s="3"/>
      <c r="G261" s="1"/>
      <c r="H261" s="3"/>
      <c r="I261" s="1"/>
      <c r="J261" s="3"/>
      <c r="K261" s="3"/>
    </row>
    <row r="262" spans="1:11">
      <c r="A262" s="15"/>
      <c r="B262" s="21"/>
      <c r="C262" s="3"/>
      <c r="D262" s="3"/>
      <c r="E262" s="3"/>
      <c r="F262" s="3"/>
      <c r="G262" s="1"/>
      <c r="H262" s="3"/>
      <c r="I262" s="1"/>
      <c r="J262" s="3"/>
      <c r="K262" s="3"/>
    </row>
    <row r="263" spans="1:11">
      <c r="A263" s="15"/>
      <c r="B263" s="21"/>
      <c r="C263" s="3"/>
      <c r="D263" s="3"/>
      <c r="E263" s="3"/>
      <c r="F263" s="3"/>
      <c r="G263" s="1"/>
      <c r="H263" s="3"/>
      <c r="I263" s="1"/>
      <c r="J263" s="3"/>
      <c r="K263" s="3"/>
    </row>
    <row r="264" spans="1:11">
      <c r="A264" s="15"/>
      <c r="B264" s="21"/>
      <c r="C264" s="3"/>
      <c r="D264" s="3"/>
      <c r="E264" s="3"/>
      <c r="F264" s="3"/>
      <c r="G264" s="1"/>
      <c r="H264" s="3"/>
      <c r="I264" s="1"/>
      <c r="J264" s="3"/>
      <c r="K264" s="3"/>
    </row>
    <row r="265" spans="1:11">
      <c r="A265" s="15"/>
      <c r="B265" s="21"/>
      <c r="C265" s="3"/>
      <c r="D265" s="3"/>
      <c r="E265" s="3"/>
      <c r="F265" s="3"/>
      <c r="G265" s="1"/>
      <c r="H265" s="3"/>
      <c r="I265" s="1"/>
      <c r="J265" s="3"/>
      <c r="K265" s="3"/>
    </row>
    <row r="266" spans="1:11">
      <c r="A266" s="15"/>
      <c r="B266" s="21"/>
      <c r="C266" s="3"/>
      <c r="D266" s="3"/>
      <c r="E266" s="3"/>
      <c r="F266" s="3"/>
      <c r="G266" s="1"/>
      <c r="H266" s="3"/>
      <c r="I266" s="1"/>
      <c r="J266" s="3"/>
      <c r="K266" s="3"/>
    </row>
    <row r="267" spans="1:11">
      <c r="A267" s="15"/>
      <c r="B267" s="21"/>
      <c r="C267" s="3"/>
      <c r="D267" s="3"/>
      <c r="E267" s="3"/>
      <c r="F267" s="3"/>
      <c r="G267" s="1"/>
      <c r="H267" s="3"/>
      <c r="I267" s="1"/>
      <c r="J267" s="3"/>
      <c r="K267" s="3"/>
    </row>
    <row r="268" spans="1:11">
      <c r="A268" s="15"/>
      <c r="B268" s="21"/>
      <c r="C268" s="3"/>
      <c r="D268" s="3"/>
      <c r="E268" s="3"/>
      <c r="F268" s="3"/>
      <c r="G268" s="1"/>
      <c r="H268" s="3"/>
      <c r="I268" s="1"/>
      <c r="J268" s="3"/>
      <c r="K268" s="3"/>
    </row>
    <row r="269" spans="1:11">
      <c r="A269" s="15"/>
      <c r="B269" s="21"/>
      <c r="C269" s="3"/>
      <c r="D269" s="3"/>
      <c r="E269" s="3"/>
      <c r="F269" s="3"/>
      <c r="G269" s="1"/>
      <c r="H269" s="3"/>
      <c r="I269" s="1"/>
      <c r="J269" s="3"/>
      <c r="K269" s="3"/>
    </row>
    <row r="270" spans="1:11">
      <c r="A270" s="15"/>
      <c r="B270" s="21"/>
      <c r="C270" s="3"/>
      <c r="D270" s="3"/>
      <c r="E270" s="3"/>
      <c r="F270" s="3"/>
      <c r="G270" s="1"/>
      <c r="H270" s="3"/>
      <c r="I270" s="1"/>
      <c r="J270" s="3"/>
      <c r="K270" s="3"/>
    </row>
    <row r="271" spans="1:11">
      <c r="A271" s="15"/>
      <c r="B271" s="21"/>
      <c r="C271" s="3"/>
      <c r="D271" s="3"/>
      <c r="E271" s="3"/>
      <c r="F271" s="3"/>
      <c r="G271" s="1"/>
      <c r="H271" s="3"/>
      <c r="I271" s="1"/>
      <c r="J271" s="3"/>
      <c r="K271" s="3"/>
    </row>
    <row r="272" spans="1:11">
      <c r="A272" s="15"/>
      <c r="B272" s="21"/>
      <c r="C272" s="3"/>
      <c r="D272" s="3"/>
      <c r="E272" s="3"/>
      <c r="F272" s="3"/>
      <c r="G272" s="1"/>
      <c r="H272" s="3"/>
      <c r="I272" s="1"/>
      <c r="J272" s="3"/>
      <c r="K272" s="3"/>
    </row>
    <row r="273" spans="1:11">
      <c r="A273" s="15"/>
      <c r="B273" s="21"/>
      <c r="C273" s="3"/>
      <c r="D273" s="3"/>
      <c r="E273" s="3"/>
      <c r="F273" s="3"/>
      <c r="G273" s="1"/>
      <c r="H273" s="3"/>
      <c r="I273" s="1"/>
      <c r="J273" s="3"/>
      <c r="K273" s="3"/>
    </row>
    <row r="274" spans="1:11">
      <c r="A274" s="15"/>
      <c r="B274" s="21"/>
      <c r="C274" s="3"/>
      <c r="D274" s="3"/>
      <c r="E274" s="3"/>
      <c r="F274" s="3"/>
      <c r="G274" s="1"/>
      <c r="H274" s="3"/>
      <c r="I274" s="1"/>
      <c r="J274" s="3"/>
      <c r="K274" s="3"/>
    </row>
    <row r="275" spans="1:11">
      <c r="A275" s="15"/>
      <c r="B275" s="21"/>
      <c r="C275" s="3"/>
      <c r="D275" s="3"/>
      <c r="E275" s="3"/>
      <c r="F275" s="3"/>
      <c r="G275" s="1"/>
      <c r="H275" s="3"/>
      <c r="I275" s="1"/>
      <c r="J275" s="3"/>
      <c r="K275" s="3"/>
    </row>
    <row r="276" spans="1:11">
      <c r="A276" s="15"/>
      <c r="B276" s="21"/>
      <c r="C276" s="3"/>
      <c r="D276" s="3"/>
      <c r="E276" s="3"/>
      <c r="F276" s="3"/>
      <c r="G276" s="1"/>
      <c r="H276" s="3"/>
      <c r="I276" s="1"/>
      <c r="J276" s="3"/>
      <c r="K276" s="3"/>
    </row>
    <row r="277" spans="1:11">
      <c r="A277" s="15"/>
      <c r="B277" s="21"/>
      <c r="C277" s="3"/>
      <c r="D277" s="3"/>
      <c r="E277" s="3"/>
      <c r="F277" s="3"/>
      <c r="G277" s="1"/>
      <c r="H277" s="3"/>
      <c r="I277" s="1"/>
      <c r="J277" s="3"/>
      <c r="K277" s="3"/>
    </row>
    <row r="278" spans="1:11">
      <c r="A278" s="15"/>
      <c r="B278" s="21"/>
      <c r="C278" s="3"/>
      <c r="D278" s="3"/>
      <c r="E278" s="3"/>
      <c r="F278" s="3"/>
      <c r="G278" s="1"/>
      <c r="H278" s="3"/>
      <c r="I278" s="1"/>
      <c r="J278" s="3"/>
      <c r="K278" s="3"/>
    </row>
    <row r="279" spans="1:11">
      <c r="A279" s="15"/>
      <c r="B279" s="21"/>
      <c r="C279" s="3"/>
      <c r="D279" s="3"/>
      <c r="E279" s="3"/>
      <c r="F279" s="3"/>
      <c r="G279" s="1"/>
      <c r="H279" s="3"/>
      <c r="I279" s="1"/>
      <c r="J279" s="3"/>
      <c r="K279" s="3"/>
    </row>
    <row r="280" spans="1:11">
      <c r="A280" s="15"/>
      <c r="B280" s="21"/>
      <c r="C280" s="3"/>
      <c r="D280" s="3"/>
      <c r="E280" s="3"/>
      <c r="F280" s="3"/>
      <c r="G280" s="1"/>
      <c r="H280" s="3"/>
      <c r="I280" s="1"/>
      <c r="J280" s="3"/>
      <c r="K280" s="3"/>
    </row>
    <row r="281" spans="1:11">
      <c r="A281" s="15"/>
      <c r="B281" s="21"/>
      <c r="C281" s="3"/>
      <c r="D281" s="3"/>
      <c r="E281" s="3"/>
      <c r="F281" s="3"/>
      <c r="G281" s="1"/>
      <c r="H281" s="3"/>
      <c r="I281" s="1"/>
      <c r="J281" s="3"/>
      <c r="K281" s="3"/>
    </row>
    <row r="282" spans="1:11">
      <c r="A282" s="15"/>
      <c r="B282" s="21"/>
      <c r="C282" s="3"/>
      <c r="D282" s="3"/>
      <c r="E282" s="3"/>
      <c r="F282" s="3"/>
      <c r="G282" s="1"/>
      <c r="H282" s="3"/>
      <c r="I282" s="1"/>
      <c r="J282" s="3"/>
      <c r="K282" s="3"/>
    </row>
    <row r="283" spans="1:11">
      <c r="A283" s="15"/>
      <c r="B283" s="21"/>
      <c r="C283" s="3"/>
      <c r="D283" s="3"/>
      <c r="E283" s="3"/>
      <c r="F283" s="3"/>
      <c r="G283" s="1"/>
      <c r="H283" s="3"/>
      <c r="I283" s="1"/>
      <c r="J283" s="3"/>
      <c r="K283" s="3"/>
    </row>
    <row r="284" spans="1:11">
      <c r="A284" s="15"/>
      <c r="B284" s="21"/>
      <c r="C284" s="3"/>
      <c r="D284" s="3"/>
      <c r="E284" s="3"/>
      <c r="F284" s="3"/>
      <c r="G284" s="1"/>
      <c r="H284" s="3"/>
      <c r="I284" s="1"/>
      <c r="J284" s="3"/>
      <c r="K284" s="3"/>
    </row>
    <row r="285" spans="1:11">
      <c r="A285" s="15"/>
      <c r="B285" s="21"/>
      <c r="C285" s="3"/>
      <c r="D285" s="3"/>
      <c r="E285" s="3"/>
      <c r="F285" s="3"/>
      <c r="G285" s="1"/>
      <c r="H285" s="3"/>
      <c r="I285" s="1"/>
      <c r="J285" s="3"/>
      <c r="K285" s="3"/>
    </row>
    <row r="286" spans="1:11">
      <c r="A286" s="15"/>
      <c r="B286" s="21"/>
      <c r="C286" s="3"/>
      <c r="D286" s="3"/>
      <c r="E286" s="3"/>
      <c r="F286" s="3"/>
      <c r="G286" s="1"/>
      <c r="H286" s="3"/>
      <c r="I286" s="1"/>
      <c r="J286" s="3"/>
      <c r="K286" s="3"/>
    </row>
    <row r="287" spans="1:11">
      <c r="A287" s="15"/>
      <c r="B287" s="21"/>
      <c r="C287" s="3"/>
      <c r="D287" s="3"/>
      <c r="E287" s="3"/>
      <c r="F287" s="3"/>
      <c r="G287" s="1"/>
      <c r="H287" s="3"/>
      <c r="I287" s="1"/>
      <c r="J287" s="3"/>
      <c r="K287" s="3"/>
    </row>
    <row r="288" spans="1:11">
      <c r="A288" s="15"/>
      <c r="B288" s="21"/>
      <c r="C288" s="3"/>
      <c r="D288" s="3"/>
      <c r="E288" s="3"/>
      <c r="F288" s="3"/>
      <c r="G288" s="1"/>
      <c r="H288" s="3"/>
      <c r="I288" s="1"/>
      <c r="J288" s="3"/>
      <c r="K288" s="3"/>
    </row>
    <row r="289" spans="1:11">
      <c r="A289" s="15"/>
      <c r="B289" s="21"/>
      <c r="C289" s="3"/>
      <c r="D289" s="3"/>
      <c r="E289" s="3"/>
      <c r="F289" s="3"/>
      <c r="G289" s="1"/>
      <c r="H289" s="3"/>
      <c r="I289" s="1"/>
      <c r="J289" s="3"/>
      <c r="K289" s="3"/>
    </row>
    <row r="290" spans="1:11">
      <c r="A290" s="15"/>
      <c r="B290" s="21"/>
      <c r="C290" s="3"/>
      <c r="D290" s="3"/>
      <c r="E290" s="3"/>
      <c r="F290" s="3"/>
      <c r="G290" s="1"/>
      <c r="H290" s="3"/>
      <c r="I290" s="1"/>
      <c r="J290" s="3"/>
      <c r="K290" s="3"/>
    </row>
    <row r="291" spans="1:11">
      <c r="A291" s="15"/>
      <c r="B291" s="21"/>
      <c r="C291" s="3"/>
      <c r="D291" s="3"/>
      <c r="E291" s="3"/>
      <c r="F291" s="3"/>
      <c r="G291" s="1"/>
      <c r="H291" s="3"/>
      <c r="I291" s="1"/>
      <c r="J291" s="3"/>
      <c r="K291" s="3"/>
    </row>
    <row r="292" spans="1:11">
      <c r="A292" s="15"/>
      <c r="B292" s="21"/>
      <c r="C292" s="3"/>
      <c r="D292" s="3"/>
      <c r="E292" s="3"/>
      <c r="F292" s="3"/>
      <c r="G292" s="1"/>
      <c r="H292" s="3"/>
      <c r="I292" s="1"/>
      <c r="J292" s="3"/>
      <c r="K292" s="3"/>
    </row>
    <row r="293" spans="1:11">
      <c r="A293" s="15"/>
      <c r="B293" s="21"/>
      <c r="C293" s="3"/>
      <c r="D293" s="3"/>
      <c r="E293" s="3"/>
      <c r="F293" s="3"/>
      <c r="G293" s="1"/>
      <c r="H293" s="3"/>
      <c r="I293" s="1"/>
      <c r="J293" s="3"/>
      <c r="K293" s="3"/>
    </row>
    <row r="294" spans="1:11">
      <c r="A294" s="15"/>
      <c r="B294" s="21"/>
      <c r="C294" s="3"/>
      <c r="D294" s="3"/>
      <c r="E294" s="3"/>
      <c r="F294" s="3"/>
      <c r="G294" s="1"/>
      <c r="H294" s="3"/>
      <c r="I294" s="1"/>
      <c r="J294" s="3"/>
      <c r="K294" s="3"/>
    </row>
    <row r="295" spans="1:11">
      <c r="A295" s="15"/>
      <c r="B295" s="21"/>
      <c r="C295" s="3"/>
      <c r="D295" s="3"/>
      <c r="E295" s="3"/>
      <c r="F295" s="3"/>
      <c r="G295" s="1"/>
      <c r="H295" s="3"/>
      <c r="I295" s="1"/>
      <c r="J295" s="3"/>
      <c r="K295" s="3"/>
    </row>
    <row r="296" spans="1:11">
      <c r="A296" s="15"/>
      <c r="B296" s="21"/>
      <c r="C296" s="3"/>
      <c r="D296" s="3"/>
      <c r="E296" s="3"/>
      <c r="F296" s="3"/>
      <c r="G296" s="1"/>
      <c r="H296" s="3"/>
      <c r="I296" s="1"/>
      <c r="J296" s="3"/>
      <c r="K296" s="3"/>
    </row>
    <row r="297" spans="1:11">
      <c r="A297" s="15"/>
      <c r="B297" s="21"/>
      <c r="C297" s="3"/>
      <c r="D297" s="3"/>
      <c r="E297" s="3"/>
      <c r="F297" s="3"/>
      <c r="G297" s="1"/>
      <c r="H297" s="3"/>
      <c r="I297" s="1"/>
      <c r="J297" s="3"/>
      <c r="K297" s="3"/>
    </row>
    <row r="298" spans="1:11">
      <c r="A298" s="15"/>
      <c r="B298" s="21"/>
      <c r="C298" s="3"/>
      <c r="D298" s="3"/>
      <c r="E298" s="3"/>
      <c r="F298" s="3"/>
      <c r="G298" s="1"/>
      <c r="H298" s="3"/>
      <c r="I298" s="1"/>
      <c r="J298" s="3"/>
      <c r="K298" s="3"/>
    </row>
    <row r="299" spans="1:11">
      <c r="A299" s="15"/>
      <c r="B299" s="21"/>
      <c r="C299" s="3"/>
      <c r="D299" s="3"/>
      <c r="E299" s="3"/>
      <c r="F299" s="3"/>
      <c r="G299" s="1"/>
      <c r="H299" s="3"/>
      <c r="I299" s="1"/>
      <c r="J299" s="3"/>
      <c r="K299" s="3"/>
    </row>
    <row r="300" spans="1:11">
      <c r="A300" s="15"/>
      <c r="B300" s="21"/>
      <c r="C300" s="3"/>
      <c r="D300" s="3"/>
      <c r="E300" s="3"/>
      <c r="F300" s="3"/>
      <c r="G300" s="1"/>
      <c r="H300" s="3"/>
      <c r="I300" s="1"/>
      <c r="J300" s="3"/>
      <c r="K300" s="3"/>
    </row>
    <row r="301" spans="1:11">
      <c r="A301" s="15"/>
      <c r="B301" s="21"/>
      <c r="C301" s="3"/>
      <c r="D301" s="3"/>
      <c r="E301" s="3"/>
      <c r="F301" s="3"/>
      <c r="G301" s="1"/>
      <c r="H301" s="3"/>
      <c r="I301" s="1"/>
      <c r="J301" s="3"/>
      <c r="K301" s="3"/>
    </row>
    <row r="302" spans="1:11">
      <c r="A302" s="15"/>
      <c r="B302" s="21"/>
      <c r="C302" s="3"/>
      <c r="D302" s="3"/>
      <c r="E302" s="3"/>
      <c r="F302" s="3"/>
      <c r="G302" s="1"/>
      <c r="H302" s="3"/>
      <c r="I302" s="1"/>
      <c r="J302" s="3"/>
      <c r="K302" s="3"/>
    </row>
    <row r="303" spans="1:11">
      <c r="A303" s="15"/>
      <c r="B303" s="21"/>
      <c r="C303" s="3"/>
      <c r="D303" s="3"/>
      <c r="E303" s="3"/>
      <c r="F303" s="3"/>
      <c r="G303" s="1"/>
      <c r="H303" s="3"/>
      <c r="I303" s="1"/>
      <c r="J303" s="3"/>
      <c r="K303" s="3"/>
    </row>
    <row r="304" spans="1:11">
      <c r="A304" s="15"/>
      <c r="B304" s="21"/>
      <c r="C304" s="3"/>
      <c r="D304" s="3"/>
      <c r="E304" s="3"/>
      <c r="F304" s="3"/>
      <c r="G304" s="1"/>
      <c r="H304" s="3"/>
      <c r="I304" s="1"/>
      <c r="J304" s="3"/>
      <c r="K304" s="3"/>
    </row>
    <row r="305" spans="1:11">
      <c r="A305" s="15"/>
      <c r="B305" s="21"/>
      <c r="C305" s="3"/>
      <c r="D305" s="3"/>
      <c r="E305" s="3"/>
      <c r="F305" s="3"/>
      <c r="G305" s="1"/>
      <c r="H305" s="3"/>
      <c r="I305" s="1"/>
      <c r="J305" s="3"/>
      <c r="K305" s="3"/>
    </row>
    <row r="306" spans="1:11">
      <c r="A306" s="15"/>
      <c r="B306" s="21"/>
      <c r="C306" s="3"/>
      <c r="D306" s="3"/>
      <c r="E306" s="3"/>
      <c r="F306" s="3"/>
      <c r="G306" s="1"/>
      <c r="H306" s="3"/>
      <c r="I306" s="1"/>
      <c r="J306" s="3"/>
      <c r="K306" s="3"/>
    </row>
    <row r="307" spans="1:11">
      <c r="A307" s="15"/>
      <c r="B307" s="21"/>
      <c r="C307" s="3"/>
      <c r="D307" s="3"/>
      <c r="E307" s="3"/>
      <c r="F307" s="3"/>
      <c r="G307" s="1"/>
      <c r="H307" s="3"/>
      <c r="I307" s="1"/>
      <c r="J307" s="3"/>
      <c r="K307" s="3"/>
    </row>
    <row r="308" spans="1:11">
      <c r="A308" s="15"/>
      <c r="B308" s="21"/>
      <c r="C308" s="3"/>
      <c r="D308" s="3"/>
      <c r="E308" s="3"/>
      <c r="F308" s="3"/>
      <c r="G308" s="1"/>
      <c r="H308" s="3"/>
      <c r="I308" s="1"/>
      <c r="J308" s="3"/>
      <c r="K308" s="3"/>
    </row>
    <row r="309" spans="1:11">
      <c r="A309" s="15"/>
      <c r="B309" s="21"/>
      <c r="C309" s="3"/>
      <c r="D309" s="3"/>
      <c r="E309" s="3"/>
      <c r="F309" s="3"/>
      <c r="G309" s="1"/>
      <c r="H309" s="3"/>
      <c r="I309" s="1"/>
      <c r="J309" s="3"/>
      <c r="K309" s="3"/>
    </row>
    <row r="310" spans="1:11">
      <c r="A310" s="15"/>
      <c r="B310" s="21"/>
      <c r="C310" s="3"/>
      <c r="D310" s="3"/>
      <c r="E310" s="3"/>
      <c r="F310" s="3"/>
      <c r="G310" s="1"/>
      <c r="H310" s="3"/>
      <c r="I310" s="1"/>
      <c r="J310" s="3"/>
      <c r="K310" s="3"/>
    </row>
    <row r="311" spans="1:11">
      <c r="A311" s="15"/>
      <c r="B311" s="21"/>
      <c r="C311" s="3"/>
      <c r="D311" s="3"/>
      <c r="E311" s="3"/>
      <c r="F311" s="3"/>
      <c r="G311" s="1"/>
      <c r="H311" s="3"/>
      <c r="I311" s="1"/>
      <c r="J311" s="3"/>
      <c r="K311" s="3"/>
    </row>
    <row r="312" spans="1:11">
      <c r="A312" s="15"/>
      <c r="B312" s="21"/>
      <c r="C312" s="3"/>
      <c r="D312" s="3"/>
      <c r="E312" s="3"/>
      <c r="F312" s="3"/>
      <c r="G312" s="1"/>
      <c r="H312" s="3"/>
      <c r="I312" s="1"/>
      <c r="J312" s="3"/>
      <c r="K312" s="3"/>
    </row>
    <row r="313" spans="1:11">
      <c r="A313" s="15"/>
      <c r="B313" s="21"/>
      <c r="C313" s="3"/>
      <c r="D313" s="3"/>
      <c r="E313" s="3"/>
      <c r="F313" s="3"/>
      <c r="G313" s="1"/>
      <c r="H313" s="3"/>
      <c r="I313" s="1"/>
      <c r="J313" s="3"/>
      <c r="K313" s="3"/>
    </row>
    <row r="314" spans="1:11">
      <c r="A314" s="15"/>
      <c r="B314" s="21"/>
      <c r="C314" s="3"/>
      <c r="D314" s="3"/>
      <c r="E314" s="3"/>
      <c r="F314" s="3"/>
      <c r="G314" s="1"/>
      <c r="H314" s="3"/>
      <c r="I314" s="1"/>
      <c r="J314" s="3"/>
      <c r="K314" s="3"/>
    </row>
    <row r="315" spans="1:11">
      <c r="B315" s="21"/>
      <c r="C315" s="3"/>
      <c r="D315" s="3"/>
      <c r="E315" s="3"/>
      <c r="F315" s="3"/>
      <c r="G315" s="1"/>
      <c r="H315" s="3"/>
      <c r="I315" s="1"/>
      <c r="J315" s="3"/>
      <c r="K315" s="3"/>
    </row>
    <row r="316" spans="1:11">
      <c r="B316" s="21"/>
      <c r="C316" s="3"/>
      <c r="D316" s="3"/>
      <c r="E316" s="3"/>
      <c r="F316" s="3"/>
      <c r="G316" s="1"/>
      <c r="H316" s="3"/>
      <c r="I316" s="1"/>
      <c r="J316" s="3"/>
      <c r="K316" s="3"/>
    </row>
    <row r="317" spans="1:11">
      <c r="B317" s="21"/>
      <c r="C317" s="3"/>
      <c r="D317" s="3"/>
      <c r="E317" s="3"/>
      <c r="F317" s="3"/>
      <c r="G317" s="1"/>
      <c r="H317" s="3"/>
      <c r="I317" s="1"/>
      <c r="J317" s="3"/>
      <c r="K317" s="3"/>
    </row>
    <row r="318" spans="1:11">
      <c r="B318" s="21"/>
      <c r="C318" s="3"/>
      <c r="D318" s="3"/>
      <c r="E318" s="3"/>
      <c r="F318" s="3"/>
      <c r="G318" s="1"/>
      <c r="H318" s="3"/>
      <c r="I318" s="1"/>
      <c r="J318" s="3"/>
      <c r="K318" s="3"/>
    </row>
    <row r="319" spans="1:11">
      <c r="B319" s="21"/>
      <c r="C319" s="3"/>
      <c r="D319" s="3"/>
      <c r="E319" s="3"/>
      <c r="F319" s="3"/>
      <c r="G319" s="1"/>
      <c r="H319" s="3"/>
      <c r="I319" s="1"/>
      <c r="J319" s="3"/>
      <c r="K319" s="3"/>
    </row>
    <row r="320" spans="1:11">
      <c r="B320" s="21"/>
      <c r="C320" s="3"/>
      <c r="D320" s="3"/>
      <c r="E320" s="3"/>
      <c r="F320" s="3"/>
      <c r="G320" s="1"/>
      <c r="H320" s="3"/>
      <c r="I320" s="1"/>
      <c r="J320" s="3"/>
      <c r="K320" s="3"/>
    </row>
    <row r="321" spans="2:11">
      <c r="B321" s="21"/>
      <c r="C321" s="3"/>
      <c r="D321" s="3"/>
      <c r="E321" s="3"/>
      <c r="F321" s="3"/>
      <c r="G321" s="1"/>
      <c r="H321" s="3"/>
      <c r="I321" s="1"/>
      <c r="J321" s="3"/>
      <c r="K321" s="3"/>
    </row>
    <row r="322" spans="2:11">
      <c r="B322" s="21"/>
      <c r="C322" s="3"/>
      <c r="D322" s="3"/>
      <c r="E322" s="3"/>
      <c r="F322" s="3"/>
      <c r="G322" s="1"/>
      <c r="H322" s="3"/>
      <c r="I322" s="1"/>
      <c r="J322" s="3"/>
      <c r="K322" s="3"/>
    </row>
    <row r="323" spans="2:11">
      <c r="B323" s="21"/>
      <c r="C323" s="3"/>
      <c r="D323" s="3"/>
      <c r="E323" s="3"/>
      <c r="F323" s="3"/>
      <c r="G323" s="1"/>
      <c r="H323" s="3"/>
      <c r="I323" s="1"/>
      <c r="J323" s="3"/>
      <c r="K323" s="3"/>
    </row>
    <row r="324" spans="2:11">
      <c r="B324" s="21"/>
      <c r="C324" s="3"/>
      <c r="D324" s="3"/>
      <c r="E324" s="3"/>
      <c r="F324" s="3"/>
      <c r="G324" s="1"/>
      <c r="H324" s="3"/>
      <c r="I324" s="1"/>
      <c r="J324" s="3"/>
      <c r="K324" s="3"/>
    </row>
    <row r="325" spans="2:11">
      <c r="B325" s="21"/>
      <c r="C325" s="3"/>
      <c r="D325" s="3"/>
      <c r="E325" s="3"/>
      <c r="F325" s="3"/>
      <c r="G325" s="1"/>
      <c r="H325" s="3"/>
      <c r="I325" s="1"/>
      <c r="J325" s="3"/>
      <c r="K325" s="3"/>
    </row>
    <row r="326" spans="2:11">
      <c r="B326" s="21"/>
      <c r="C326" s="3"/>
      <c r="D326" s="3"/>
      <c r="E326" s="3"/>
      <c r="F326" s="3"/>
      <c r="G326" s="1"/>
      <c r="H326" s="3"/>
      <c r="I326" s="1"/>
      <c r="J326" s="3"/>
      <c r="K326" s="3"/>
    </row>
    <row r="327" spans="2:11">
      <c r="B327" s="21"/>
      <c r="C327" s="3"/>
      <c r="D327" s="3"/>
      <c r="E327" s="3"/>
      <c r="F327" s="3"/>
      <c r="G327" s="1"/>
      <c r="H327" s="3"/>
      <c r="I327" s="1"/>
      <c r="J327" s="3"/>
      <c r="K327" s="3"/>
    </row>
    <row r="328" spans="2:11">
      <c r="B328" s="21"/>
      <c r="C328" s="3"/>
      <c r="D328" s="3"/>
      <c r="E328" s="3"/>
      <c r="F328" s="3"/>
      <c r="G328" s="1"/>
      <c r="H328" s="3"/>
      <c r="I328" s="1"/>
      <c r="J328" s="3"/>
      <c r="K328" s="3"/>
    </row>
    <row r="329" spans="2:11">
      <c r="B329" s="21"/>
      <c r="C329" s="3"/>
      <c r="D329" s="3"/>
      <c r="E329" s="3"/>
      <c r="F329" s="3"/>
      <c r="G329" s="1"/>
      <c r="H329" s="3"/>
      <c r="I329" s="1"/>
      <c r="J329" s="3"/>
      <c r="K329" s="3"/>
    </row>
    <row r="330" spans="2:11">
      <c r="B330" s="21"/>
      <c r="C330" s="3"/>
      <c r="D330" s="3"/>
      <c r="E330" s="3"/>
      <c r="F330" s="3"/>
      <c r="G330" s="1"/>
      <c r="H330" s="3"/>
      <c r="I330" s="1"/>
      <c r="J330" s="3"/>
      <c r="K330" s="3"/>
    </row>
    <row r="331" spans="2:11">
      <c r="B331" s="21"/>
      <c r="C331" s="3"/>
      <c r="D331" s="3"/>
      <c r="E331" s="3"/>
      <c r="F331" s="3"/>
      <c r="G331" s="1"/>
      <c r="H331" s="3"/>
      <c r="I331" s="1"/>
      <c r="J331" s="3"/>
      <c r="K331" s="3"/>
    </row>
    <row r="332" spans="2:11">
      <c r="B332" s="21"/>
      <c r="C332" s="3"/>
      <c r="D332" s="3"/>
      <c r="E332" s="3"/>
      <c r="F332" s="3"/>
      <c r="G332" s="1"/>
      <c r="H332" s="3"/>
      <c r="I332" s="1"/>
      <c r="J332" s="3"/>
      <c r="K332" s="3"/>
    </row>
    <row r="333" spans="2:11">
      <c r="B333" s="21"/>
      <c r="C333" s="3"/>
      <c r="D333" s="3"/>
      <c r="E333" s="3"/>
      <c r="F333" s="3"/>
      <c r="G333" s="1"/>
      <c r="H333" s="3"/>
      <c r="I333" s="1"/>
      <c r="J333" s="3"/>
      <c r="K333" s="3"/>
    </row>
    <row r="334" spans="2:11">
      <c r="B334" s="21"/>
      <c r="C334" s="3"/>
      <c r="D334" s="3"/>
      <c r="E334" s="3"/>
      <c r="F334" s="3"/>
      <c r="G334" s="1"/>
      <c r="H334" s="3"/>
      <c r="I334" s="1"/>
      <c r="J334" s="3"/>
      <c r="K334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8B6C-4AFE-3D42-8190-39C909BA9814}">
  <dimension ref="A1:Q56"/>
  <sheetViews>
    <sheetView workbookViewId="0">
      <selection activeCell="M3" sqref="M3"/>
    </sheetView>
  </sheetViews>
  <sheetFormatPr baseColWidth="10" defaultColWidth="11" defaultRowHeight="16"/>
  <cols>
    <col min="1" max="1" width="11.33203125" bestFit="1" customWidth="1"/>
    <col min="2" max="2" width="7.1640625" bestFit="1" customWidth="1"/>
    <col min="3" max="3" width="14.1640625" bestFit="1" customWidth="1"/>
    <col min="4" max="4" width="13.1640625" bestFit="1" customWidth="1"/>
    <col min="5" max="5" width="14.33203125" bestFit="1" customWidth="1"/>
    <col min="6" max="6" width="14.1640625" bestFit="1" customWidth="1"/>
    <col min="7" max="7" width="18.1640625" bestFit="1" customWidth="1"/>
    <col min="8" max="8" width="14.1640625" bestFit="1" customWidth="1"/>
    <col min="9" max="9" width="13.1640625" bestFit="1" customWidth="1"/>
    <col min="10" max="10" width="24.33203125" bestFit="1" customWidth="1"/>
    <col min="11" max="11" width="14.1640625" bestFit="1" customWidth="1"/>
    <col min="13" max="13" width="12.1640625" bestFit="1" customWidth="1"/>
    <col min="14" max="14" width="13.1640625" bestFit="1" customWidth="1"/>
    <col min="16" max="16" width="14.1640625" style="1" bestFit="1" customWidth="1"/>
    <col min="17" max="17" width="12.1640625" bestFit="1" customWidth="1"/>
  </cols>
  <sheetData>
    <row r="1" spans="1:17">
      <c r="G1" t="s">
        <v>16</v>
      </c>
      <c r="H1" s="1">
        <v>80000</v>
      </c>
      <c r="L1" s="22" t="s">
        <v>36</v>
      </c>
    </row>
    <row r="2" spans="1:17">
      <c r="G2" t="s">
        <v>17</v>
      </c>
      <c r="H2" s="17"/>
      <c r="I2" t="s">
        <v>18</v>
      </c>
      <c r="J2" s="5" t="s">
        <v>37</v>
      </c>
      <c r="M2" s="3">
        <f>E12*H3</f>
        <v>1056</v>
      </c>
    </row>
    <row r="3" spans="1:17">
      <c r="G3" t="s">
        <v>17</v>
      </c>
      <c r="H3" s="18">
        <f>0.48%+0.0084</f>
        <v>1.32E-2</v>
      </c>
      <c r="I3" t="s">
        <v>20</v>
      </c>
      <c r="J3" s="5"/>
      <c r="M3" s="17">
        <f>(1+H3)^(H7)-1</f>
        <v>0.60334329613167781</v>
      </c>
    </row>
    <row r="4" spans="1:17">
      <c r="G4" t="s">
        <v>21</v>
      </c>
      <c r="H4" s="17"/>
      <c r="I4" t="s">
        <v>18</v>
      </c>
      <c r="M4" s="3">
        <f>M2*M3</f>
        <v>637.13052071505172</v>
      </c>
    </row>
    <row r="5" spans="1:17">
      <c r="G5" t="s">
        <v>21</v>
      </c>
      <c r="H5" s="17">
        <f>(1+$H$4)^(1/12)-1</f>
        <v>0</v>
      </c>
      <c r="I5" t="s">
        <v>18</v>
      </c>
      <c r="M5" s="17">
        <f>(1+H3)^(H7)-1</f>
        <v>0.60334329613167781</v>
      </c>
    </row>
    <row r="6" spans="1:17">
      <c r="F6" s="1"/>
      <c r="G6" t="s">
        <v>22</v>
      </c>
      <c r="H6" s="20"/>
      <c r="I6" s="17" t="s">
        <v>23</v>
      </c>
      <c r="J6" s="3"/>
      <c r="M6" s="3">
        <f>M4/M5</f>
        <v>1056</v>
      </c>
    </row>
    <row r="7" spans="1:17">
      <c r="F7" s="1"/>
      <c r="G7" t="s">
        <v>22</v>
      </c>
      <c r="H7" s="20">
        <v>36</v>
      </c>
      <c r="I7" s="17" t="s">
        <v>24</v>
      </c>
    </row>
    <row r="8" spans="1:17">
      <c r="G8" t="s">
        <v>25</v>
      </c>
      <c r="H8" s="20">
        <v>0</v>
      </c>
      <c r="I8" s="19" t="s">
        <v>24</v>
      </c>
    </row>
    <row r="9" spans="1:17">
      <c r="D9" s="3">
        <f>SUM(D12:D129678)</f>
        <v>0</v>
      </c>
      <c r="F9" s="3">
        <f>SUM(F12:F129678)</f>
        <v>21024.904290043851</v>
      </c>
      <c r="H9" s="17"/>
      <c r="I9" s="19"/>
      <c r="J9" s="3">
        <f>SUM(J12:J129678)</f>
        <v>101024.90429004382</v>
      </c>
      <c r="Q9" s="3"/>
    </row>
    <row r="10" spans="1:17">
      <c r="D10" s="3"/>
      <c r="F10" s="3"/>
      <c r="H10" s="17"/>
      <c r="I10" s="19"/>
      <c r="J10" s="3"/>
    </row>
    <row r="11" spans="1:17">
      <c r="A11" s="5" t="s">
        <v>26</v>
      </c>
      <c r="B11" s="5" t="s">
        <v>27</v>
      </c>
      <c r="C11" s="5" t="s">
        <v>28</v>
      </c>
      <c r="D11" s="2" t="s">
        <v>21</v>
      </c>
      <c r="E11" s="5" t="s">
        <v>29</v>
      </c>
      <c r="F11" s="5" t="s">
        <v>30</v>
      </c>
      <c r="G11" s="5" t="s">
        <v>31</v>
      </c>
      <c r="H11" s="5" t="s">
        <v>32</v>
      </c>
      <c r="I11" s="5" t="s">
        <v>33</v>
      </c>
      <c r="J11" s="5" t="s">
        <v>34</v>
      </c>
      <c r="K11" s="5" t="s">
        <v>35</v>
      </c>
    </row>
    <row r="12" spans="1:17">
      <c r="A12" s="15">
        <v>43539</v>
      </c>
      <c r="B12" s="21">
        <v>1</v>
      </c>
      <c r="C12" s="3">
        <f>H1</f>
        <v>80000</v>
      </c>
      <c r="D12" s="3">
        <f>C12*$H$5</f>
        <v>0</v>
      </c>
      <c r="E12" s="3">
        <f>C12+D12</f>
        <v>80000</v>
      </c>
      <c r="F12" s="3">
        <f>E12*($H$3)</f>
        <v>1056</v>
      </c>
      <c r="G12" s="1">
        <f>IF($H$8&gt;=B12,0,H12-F12)</f>
        <v>1750.2473413900852</v>
      </c>
      <c r="H12" s="3">
        <f>IF(H8&gt;0,0,($E$12*$H$3*(1+$H$3)^($H$7))/((1+$H$3)^($H$7)-1))</f>
        <v>2806.2473413900852</v>
      </c>
      <c r="I12" s="1"/>
      <c r="J12" s="3">
        <f>H12+I12</f>
        <v>2806.2473413900852</v>
      </c>
      <c r="K12" s="3">
        <f>IF(G12&lt;1,E12-G12-I12+F12,E12-G12-I12)</f>
        <v>78249.752658609912</v>
      </c>
      <c r="M12" s="23">
        <f>F12/$F$9</f>
        <v>5.0226150161361685E-2</v>
      </c>
      <c r="N12" s="3"/>
    </row>
    <row r="13" spans="1:17">
      <c r="A13" s="15">
        <v>43570</v>
      </c>
      <c r="B13" s="21">
        <v>2</v>
      </c>
      <c r="C13" s="3">
        <f>K12</f>
        <v>78249.752658609912</v>
      </c>
      <c r="D13" s="3">
        <f>C13*$H$5</f>
        <v>0</v>
      </c>
      <c r="E13" s="3">
        <f>C13+D13</f>
        <v>78249.752658609912</v>
      </c>
      <c r="F13" s="3">
        <f>E13*($H$3)</f>
        <v>1032.8967350936509</v>
      </c>
      <c r="G13" s="1">
        <f>IF($H$8&gt;=B13,0,H13-F13)</f>
        <v>1773.3506062964352</v>
      </c>
      <c r="H13" s="3">
        <f>IF($H$8&gt;B12,0,(E13*$H$3*(1+$H$3)^($H$7-(B12-$H$8))/((1+$H$3)^($H$7-(B12-$H$8))-1)))</f>
        <v>2806.2473413900861</v>
      </c>
      <c r="I13" s="1"/>
      <c r="J13" s="3">
        <f t="shared" ref="J13:J47" si="0">H13+I13</f>
        <v>2806.2473413900861</v>
      </c>
      <c r="K13" s="3">
        <f t="shared" ref="K13:K47" si="1">IF(G13&lt;1,E13-G13-I13+F13,E13-G13-I13)</f>
        <v>76476.402052313482</v>
      </c>
      <c r="M13" s="23">
        <f t="shared" ref="M13:M47" si="2">F13/$F$9</f>
        <v>4.9127297839009411E-2</v>
      </c>
      <c r="N13" s="28">
        <f>M13+M12</f>
        <v>9.9353448000371103E-2</v>
      </c>
    </row>
    <row r="14" spans="1:17">
      <c r="A14" s="15">
        <v>43600</v>
      </c>
      <c r="B14" s="21">
        <v>3</v>
      </c>
      <c r="C14" s="3">
        <f t="shared" ref="C14:C16" si="3">K13</f>
        <v>76476.402052313482</v>
      </c>
      <c r="D14" s="3">
        <f t="shared" ref="D14:D47" si="4">C14*$H$5</f>
        <v>0</v>
      </c>
      <c r="E14" s="3">
        <f t="shared" ref="E14:E16" si="5">C14+D14</f>
        <v>76476.402052313482</v>
      </c>
      <c r="F14" s="3">
        <f t="shared" ref="F14:F47" si="6">E14*($H$3)</f>
        <v>1009.488507090538</v>
      </c>
      <c r="G14" s="1">
        <f t="shared" ref="G14:G47" si="7">IF($H$8&gt;=B14,0,H14-F14)</f>
        <v>1796.7588342995487</v>
      </c>
      <c r="H14" s="3">
        <f t="shared" ref="H14:H47" si="8">IF($H$8&gt;B13,0,(E14*$H$3*(1+$H$3)^($H$7-(B13-$H$8))/((1+$H$3)^($H$7-(B13-$H$8))-1)))</f>
        <v>2806.2473413900866</v>
      </c>
      <c r="I14" s="1"/>
      <c r="J14" s="3">
        <f t="shared" si="0"/>
        <v>2806.2473413900866</v>
      </c>
      <c r="K14" s="3">
        <f t="shared" si="1"/>
        <v>74679.643218013938</v>
      </c>
      <c r="M14" s="23">
        <f t="shared" si="2"/>
        <v>4.8013940666002078E-2</v>
      </c>
      <c r="N14" s="28">
        <f>N13+M14</f>
        <v>0.14736738866637317</v>
      </c>
      <c r="O14" s="23"/>
      <c r="Q14" s="3"/>
    </row>
    <row r="15" spans="1:17">
      <c r="A15" s="15">
        <v>43631</v>
      </c>
      <c r="B15" s="21">
        <v>4</v>
      </c>
      <c r="C15" s="3">
        <f t="shared" si="3"/>
        <v>74679.643218013938</v>
      </c>
      <c r="D15" s="3">
        <f t="shared" si="4"/>
        <v>0</v>
      </c>
      <c r="E15" s="3">
        <f t="shared" si="5"/>
        <v>74679.643218013938</v>
      </c>
      <c r="F15" s="3">
        <f t="shared" si="6"/>
        <v>985.77129047778396</v>
      </c>
      <c r="G15" s="1">
        <f t="shared" si="7"/>
        <v>1820.4760509123034</v>
      </c>
      <c r="H15" s="3">
        <f t="shared" si="8"/>
        <v>2806.2473413900875</v>
      </c>
      <c r="I15" s="1"/>
      <c r="J15" s="3">
        <f t="shared" si="0"/>
        <v>2806.2473413900875</v>
      </c>
      <c r="K15" s="3">
        <f t="shared" si="1"/>
        <v>72859.167167101637</v>
      </c>
      <c r="M15" s="23">
        <f t="shared" si="2"/>
        <v>4.6885887178311048E-2</v>
      </c>
      <c r="N15" s="28">
        <f t="shared" ref="N15:N47" si="9">N14+M15</f>
        <v>0.19425327584468421</v>
      </c>
    </row>
    <row r="16" spans="1:17">
      <c r="A16" s="15">
        <v>43661</v>
      </c>
      <c r="B16" s="21">
        <v>5</v>
      </c>
      <c r="C16" s="3">
        <f t="shared" si="3"/>
        <v>72859.167167101637</v>
      </c>
      <c r="D16" s="3">
        <f t="shared" si="4"/>
        <v>0</v>
      </c>
      <c r="E16" s="3">
        <f t="shared" si="5"/>
        <v>72859.167167101637</v>
      </c>
      <c r="F16" s="3">
        <f t="shared" si="6"/>
        <v>961.74100660574163</v>
      </c>
      <c r="G16" s="1">
        <f t="shared" si="7"/>
        <v>1844.5063347843463</v>
      </c>
      <c r="H16" s="3">
        <f t="shared" si="8"/>
        <v>2806.247341390088</v>
      </c>
      <c r="I16" s="1"/>
      <c r="J16" s="3">
        <f t="shared" si="0"/>
        <v>2806.247341390088</v>
      </c>
      <c r="K16" s="3">
        <f t="shared" si="1"/>
        <v>71014.660832317284</v>
      </c>
      <c r="M16" s="23">
        <f t="shared" si="2"/>
        <v>4.5742943384582499E-2</v>
      </c>
      <c r="N16" s="28">
        <f t="shared" si="9"/>
        <v>0.23999621922926673</v>
      </c>
    </row>
    <row r="17" spans="1:16">
      <c r="A17" s="15">
        <v>43692</v>
      </c>
      <c r="B17" s="21">
        <v>6</v>
      </c>
      <c r="C17" s="3">
        <f t="shared" ref="C17:C46" si="10">K16</f>
        <v>71014.660832317284</v>
      </c>
      <c r="D17" s="3">
        <f t="shared" si="4"/>
        <v>0</v>
      </c>
      <c r="E17" s="3">
        <f t="shared" ref="E17:E46" si="11">C17+D17</f>
        <v>71014.660832317284</v>
      </c>
      <c r="F17" s="3">
        <f t="shared" si="6"/>
        <v>937.3935229865881</v>
      </c>
      <c r="G17" s="1">
        <f>IF($H$8&gt;=B17,0,H17-F17)</f>
        <v>1868.8538184034999</v>
      </c>
      <c r="H17" s="3">
        <f t="shared" si="8"/>
        <v>2806.247341390088</v>
      </c>
      <c r="I17" s="1"/>
      <c r="J17" s="3">
        <f t="shared" si="0"/>
        <v>2806.247341390088</v>
      </c>
      <c r="K17" s="3">
        <f t="shared" si="1"/>
        <v>69145.807013913785</v>
      </c>
      <c r="M17" s="23">
        <f t="shared" si="2"/>
        <v>4.4584912732776726E-2</v>
      </c>
      <c r="N17" s="28">
        <f t="shared" si="9"/>
        <v>0.28458113196204343</v>
      </c>
    </row>
    <row r="18" spans="1:16">
      <c r="A18" s="15">
        <v>43723</v>
      </c>
      <c r="B18" s="21">
        <v>7</v>
      </c>
      <c r="C18" s="3">
        <f t="shared" si="10"/>
        <v>69145.807013913785</v>
      </c>
      <c r="D18" s="3">
        <f t="shared" si="4"/>
        <v>0</v>
      </c>
      <c r="E18" s="3">
        <f t="shared" si="11"/>
        <v>69145.807013913785</v>
      </c>
      <c r="F18" s="3">
        <f t="shared" si="6"/>
        <v>912.72465258366196</v>
      </c>
      <c r="G18" s="1">
        <f>IF($H$8&gt;=B18,0,H18-F18)</f>
        <v>1893.5226888064265</v>
      </c>
      <c r="H18" s="3">
        <f t="shared" si="8"/>
        <v>2806.2473413900884</v>
      </c>
      <c r="I18" s="1"/>
      <c r="J18" s="3">
        <f t="shared" si="0"/>
        <v>2806.2473413900884</v>
      </c>
      <c r="K18" s="3">
        <f t="shared" si="1"/>
        <v>67252.284325107365</v>
      </c>
      <c r="M18" s="23">
        <f t="shared" si="2"/>
        <v>4.3411596076367125E-2</v>
      </c>
      <c r="N18" s="28">
        <f t="shared" si="9"/>
        <v>0.32799272803841056</v>
      </c>
    </row>
    <row r="19" spans="1:16">
      <c r="A19" s="15">
        <v>43753</v>
      </c>
      <c r="B19" s="21">
        <v>8</v>
      </c>
      <c r="C19" s="3">
        <f t="shared" si="10"/>
        <v>67252.284325107365</v>
      </c>
      <c r="D19" s="3">
        <f t="shared" si="4"/>
        <v>0</v>
      </c>
      <c r="E19" s="3">
        <f t="shared" si="11"/>
        <v>67252.284325107365</v>
      </c>
      <c r="F19" s="3">
        <f t="shared" si="6"/>
        <v>887.73015309141715</v>
      </c>
      <c r="G19" s="1">
        <f t="shared" si="7"/>
        <v>1918.5171882986713</v>
      </c>
      <c r="H19" s="3">
        <f t="shared" si="8"/>
        <v>2806.2473413900884</v>
      </c>
      <c r="I19" s="1"/>
      <c r="J19" s="3">
        <f t="shared" si="0"/>
        <v>2806.2473413900884</v>
      </c>
      <c r="K19" s="3">
        <f t="shared" si="1"/>
        <v>65333.767136808696</v>
      </c>
      <c r="M19" s="23">
        <f t="shared" si="2"/>
        <v>4.2222791640092912E-2</v>
      </c>
      <c r="N19" s="28">
        <f t="shared" si="9"/>
        <v>0.37021551967850347</v>
      </c>
    </row>
    <row r="20" spans="1:16">
      <c r="A20" s="15">
        <v>43784</v>
      </c>
      <c r="B20" s="21">
        <v>9</v>
      </c>
      <c r="C20" s="3">
        <f t="shared" si="10"/>
        <v>65333.767136808696</v>
      </c>
      <c r="D20" s="3">
        <f t="shared" si="4"/>
        <v>0</v>
      </c>
      <c r="E20" s="3">
        <f t="shared" si="11"/>
        <v>65333.767136808696</v>
      </c>
      <c r="F20" s="3">
        <f t="shared" si="6"/>
        <v>862.40572620587477</v>
      </c>
      <c r="G20" s="1">
        <f t="shared" si="7"/>
        <v>1943.8416151842164</v>
      </c>
      <c r="H20" s="3">
        <f t="shared" si="8"/>
        <v>2806.2473413900912</v>
      </c>
      <c r="I20" s="1"/>
      <c r="J20" s="3">
        <f t="shared" si="0"/>
        <v>2806.2473413900912</v>
      </c>
      <c r="K20" s="3">
        <f t="shared" si="1"/>
        <v>63389.925521624478</v>
      </c>
      <c r="M20" s="23">
        <f t="shared" si="2"/>
        <v>4.1018294985259884E-2</v>
      </c>
      <c r="N20" s="28">
        <f t="shared" si="9"/>
        <v>0.41123381466376335</v>
      </c>
    </row>
    <row r="21" spans="1:16" s="30" customFormat="1">
      <c r="A21" s="24">
        <v>43814</v>
      </c>
      <c r="B21" s="25">
        <v>10</v>
      </c>
      <c r="C21" s="26">
        <f t="shared" si="10"/>
        <v>63389.925521624478</v>
      </c>
      <c r="D21" s="26">
        <f t="shared" si="4"/>
        <v>0</v>
      </c>
      <c r="E21" s="26">
        <f t="shared" si="11"/>
        <v>63389.925521624478</v>
      </c>
      <c r="F21" s="26">
        <f t="shared" si="6"/>
        <v>836.74701688544314</v>
      </c>
      <c r="G21" s="27">
        <f t="shared" si="7"/>
        <v>1969.500324504648</v>
      </c>
      <c r="H21" s="26">
        <f t="shared" si="8"/>
        <v>2806.2473413900912</v>
      </c>
      <c r="I21" s="27"/>
      <c r="J21" s="26">
        <f t="shared" si="0"/>
        <v>2806.2473413900912</v>
      </c>
      <c r="K21" s="26">
        <f t="shared" si="1"/>
        <v>61420.425197119832</v>
      </c>
      <c r="M21" s="31">
        <f t="shared" si="2"/>
        <v>3.9797898974583058E-2</v>
      </c>
      <c r="N21" s="32">
        <f t="shared" si="9"/>
        <v>0.45103171363834643</v>
      </c>
      <c r="P21" s="27"/>
    </row>
    <row r="22" spans="1:16">
      <c r="A22" s="15">
        <v>43845</v>
      </c>
      <c r="B22" s="21">
        <v>11</v>
      </c>
      <c r="C22" s="3">
        <f t="shared" si="10"/>
        <v>61420.425197119832</v>
      </c>
      <c r="D22" s="3">
        <f t="shared" si="4"/>
        <v>0</v>
      </c>
      <c r="E22" s="3">
        <f t="shared" si="11"/>
        <v>61420.425197119832</v>
      </c>
      <c r="F22" s="3">
        <f t="shared" si="6"/>
        <v>810.74961260198177</v>
      </c>
      <c r="G22" s="1">
        <f t="shared" si="7"/>
        <v>1995.4977287881102</v>
      </c>
      <c r="H22" s="3">
        <f t="shared" si="8"/>
        <v>2806.2473413900921</v>
      </c>
      <c r="I22" s="1"/>
      <c r="J22" s="3">
        <f t="shared" si="0"/>
        <v>2806.2473413900921</v>
      </c>
      <c r="K22" s="3">
        <f t="shared" si="1"/>
        <v>59424.92746833172</v>
      </c>
      <c r="M22" s="23">
        <f t="shared" si="2"/>
        <v>3.8561393736565294E-2</v>
      </c>
      <c r="N22" s="28">
        <f t="shared" si="9"/>
        <v>0.48959310737491174</v>
      </c>
    </row>
    <row r="23" spans="1:16">
      <c r="A23" s="15">
        <v>43876</v>
      </c>
      <c r="B23" s="21">
        <v>12</v>
      </c>
      <c r="C23" s="3">
        <f t="shared" si="10"/>
        <v>59424.92746833172</v>
      </c>
      <c r="D23" s="3">
        <f t="shared" si="4"/>
        <v>0</v>
      </c>
      <c r="E23" s="3">
        <f t="shared" si="11"/>
        <v>59424.92746833172</v>
      </c>
      <c r="F23" s="3">
        <f t="shared" si="6"/>
        <v>784.40904258197872</v>
      </c>
      <c r="G23" s="1">
        <f t="shared" si="7"/>
        <v>2021.8382988081153</v>
      </c>
      <c r="H23" s="3">
        <f t="shared" si="8"/>
        <v>2806.2473413900939</v>
      </c>
      <c r="I23" s="1"/>
      <c r="J23" s="3">
        <f t="shared" si="0"/>
        <v>2806.2473413900939</v>
      </c>
      <c r="K23" s="3">
        <f t="shared" si="1"/>
        <v>57403.089169523606</v>
      </c>
      <c r="M23" s="23">
        <f t="shared" si="2"/>
        <v>3.7308566629405696E-2</v>
      </c>
      <c r="N23" s="28">
        <f t="shared" si="9"/>
        <v>0.52690167400431742</v>
      </c>
    </row>
    <row r="24" spans="1:16">
      <c r="A24" s="15">
        <v>43905</v>
      </c>
      <c r="B24" s="21">
        <v>13</v>
      </c>
      <c r="C24" s="3">
        <f t="shared" si="10"/>
        <v>57403.089169523606</v>
      </c>
      <c r="D24" s="3">
        <f t="shared" si="4"/>
        <v>0</v>
      </c>
      <c r="E24" s="3">
        <f t="shared" si="11"/>
        <v>57403.089169523606</v>
      </c>
      <c r="F24" s="3">
        <f t="shared" si="6"/>
        <v>757.72077703771163</v>
      </c>
      <c r="G24" s="1">
        <f t="shared" si="7"/>
        <v>2048.5265643523812</v>
      </c>
      <c r="H24" s="3">
        <f t="shared" si="8"/>
        <v>2806.247341390093</v>
      </c>
      <c r="I24" s="1"/>
      <c r="J24" s="3">
        <f t="shared" si="0"/>
        <v>2806.247341390093</v>
      </c>
      <c r="K24" s="3">
        <f t="shared" si="1"/>
        <v>55354.562605171224</v>
      </c>
      <c r="M24" s="23">
        <f t="shared" si="2"/>
        <v>3.6039202204431596E-2</v>
      </c>
      <c r="N24" s="28">
        <f t="shared" si="9"/>
        <v>0.562940876208749</v>
      </c>
    </row>
    <row r="25" spans="1:16">
      <c r="A25" s="15">
        <v>43936</v>
      </c>
      <c r="B25" s="21">
        <v>14</v>
      </c>
      <c r="C25" s="3">
        <f t="shared" si="10"/>
        <v>55354.562605171224</v>
      </c>
      <c r="D25" s="3">
        <f t="shared" si="4"/>
        <v>0</v>
      </c>
      <c r="E25" s="3">
        <f t="shared" si="11"/>
        <v>55354.562605171224</v>
      </c>
      <c r="F25" s="3">
        <f t="shared" si="6"/>
        <v>730.68022638826017</v>
      </c>
      <c r="G25" s="1">
        <f t="shared" si="7"/>
        <v>2075.5671150018356</v>
      </c>
      <c r="H25" s="3">
        <f t="shared" si="8"/>
        <v>2806.2473413900957</v>
      </c>
      <c r="I25" s="1"/>
      <c r="J25" s="3">
        <f t="shared" si="0"/>
        <v>2806.2473413900957</v>
      </c>
      <c r="K25" s="3">
        <f t="shared" si="1"/>
        <v>53278.995490169385</v>
      </c>
      <c r="M25" s="23">
        <f t="shared" si="2"/>
        <v>3.4753082169047829E-2</v>
      </c>
      <c r="N25" s="28">
        <f t="shared" si="9"/>
        <v>0.59769395837779682</v>
      </c>
    </row>
    <row r="26" spans="1:16">
      <c r="A26" s="15">
        <v>43966</v>
      </c>
      <c r="B26" s="21">
        <v>15</v>
      </c>
      <c r="C26" s="3">
        <f t="shared" si="10"/>
        <v>53278.995490169385</v>
      </c>
      <c r="D26" s="3">
        <f t="shared" si="4"/>
        <v>0</v>
      </c>
      <c r="E26" s="3">
        <f t="shared" si="11"/>
        <v>53278.995490169385</v>
      </c>
      <c r="F26" s="3">
        <f t="shared" si="6"/>
        <v>703.28274047023592</v>
      </c>
      <c r="G26" s="1">
        <f t="shared" si="7"/>
        <v>2102.9646009198595</v>
      </c>
      <c r="H26" s="3">
        <f t="shared" si="8"/>
        <v>2806.2473413900957</v>
      </c>
      <c r="I26" s="1"/>
      <c r="J26" s="3">
        <f t="shared" si="0"/>
        <v>2806.2473413900957</v>
      </c>
      <c r="K26" s="3">
        <f t="shared" si="1"/>
        <v>51176.030889249523</v>
      </c>
      <c r="M26" s="23">
        <f t="shared" si="2"/>
        <v>3.3449985349196999E-2</v>
      </c>
      <c r="N26" s="28">
        <f t="shared" si="9"/>
        <v>0.63114394372699378</v>
      </c>
    </row>
    <row r="27" spans="1:16">
      <c r="A27" s="15">
        <v>43997</v>
      </c>
      <c r="B27" s="21">
        <v>16</v>
      </c>
      <c r="C27" s="3">
        <f t="shared" si="10"/>
        <v>51176.030889249523</v>
      </c>
      <c r="D27" s="3">
        <f t="shared" si="4"/>
        <v>0</v>
      </c>
      <c r="E27" s="3">
        <f t="shared" si="11"/>
        <v>51176.030889249523</v>
      </c>
      <c r="F27" s="3">
        <f t="shared" si="6"/>
        <v>675.52360773809369</v>
      </c>
      <c r="G27" s="1">
        <f t="shared" si="7"/>
        <v>2130.7237336520016</v>
      </c>
      <c r="H27" s="3">
        <f t="shared" si="8"/>
        <v>2806.2473413900952</v>
      </c>
      <c r="I27" s="1"/>
      <c r="J27" s="3">
        <f t="shared" si="0"/>
        <v>2806.2473413900952</v>
      </c>
      <c r="K27" s="3">
        <f t="shared" si="1"/>
        <v>49045.307155597518</v>
      </c>
      <c r="M27" s="23">
        <f t="shared" si="2"/>
        <v>3.2129687651324131E-2</v>
      </c>
      <c r="N27" s="28">
        <f t="shared" si="9"/>
        <v>0.66327363137831796</v>
      </c>
    </row>
    <row r="28" spans="1:16">
      <c r="A28" s="15">
        <v>44027</v>
      </c>
      <c r="B28" s="21">
        <v>17</v>
      </c>
      <c r="C28" s="3">
        <f t="shared" si="10"/>
        <v>49045.307155597518</v>
      </c>
      <c r="D28" s="3">
        <f t="shared" si="4"/>
        <v>0</v>
      </c>
      <c r="E28" s="3">
        <f t="shared" si="11"/>
        <v>49045.307155597518</v>
      </c>
      <c r="F28" s="3">
        <f t="shared" si="6"/>
        <v>647.3980544538872</v>
      </c>
      <c r="G28" s="1">
        <f t="shared" si="7"/>
        <v>2158.849286936209</v>
      </c>
      <c r="H28" s="3">
        <f t="shared" si="8"/>
        <v>2806.2473413900962</v>
      </c>
      <c r="I28" s="1"/>
      <c r="J28" s="3">
        <f t="shared" si="0"/>
        <v>2806.2473413900962</v>
      </c>
      <c r="K28" s="3">
        <f t="shared" si="1"/>
        <v>46886.457868661309</v>
      </c>
      <c r="M28" s="23">
        <f t="shared" si="2"/>
        <v>3.0791962023839346E-2</v>
      </c>
      <c r="N28" s="28">
        <f t="shared" si="9"/>
        <v>0.69406559340215734</v>
      </c>
    </row>
    <row r="29" spans="1:16">
      <c r="A29" s="15">
        <v>44058</v>
      </c>
      <c r="B29" s="21">
        <v>18</v>
      </c>
      <c r="C29" s="3">
        <f t="shared" si="10"/>
        <v>46886.457868661309</v>
      </c>
      <c r="D29" s="3">
        <f t="shared" si="4"/>
        <v>0</v>
      </c>
      <c r="E29" s="3">
        <f t="shared" si="11"/>
        <v>46886.457868661309</v>
      </c>
      <c r="F29" s="3">
        <f t="shared" si="6"/>
        <v>618.90124386632931</v>
      </c>
      <c r="G29" s="1">
        <f t="shared" si="7"/>
        <v>2187.3460975237695</v>
      </c>
      <c r="H29" s="3">
        <f t="shared" si="8"/>
        <v>2806.2473413900989</v>
      </c>
      <c r="I29" s="1"/>
      <c r="J29" s="3">
        <f t="shared" si="0"/>
        <v>2806.2473413900989</v>
      </c>
      <c r="K29" s="3">
        <f t="shared" si="1"/>
        <v>44699.111771137541</v>
      </c>
      <c r="M29" s="23">
        <f t="shared" si="2"/>
        <v>2.9436578418071766E-2</v>
      </c>
      <c r="N29" s="28">
        <f t="shared" si="9"/>
        <v>0.72350217182022913</v>
      </c>
    </row>
    <row r="30" spans="1:16">
      <c r="A30" s="15">
        <v>44089</v>
      </c>
      <c r="B30" s="21">
        <v>19</v>
      </c>
      <c r="C30" s="3">
        <f t="shared" si="10"/>
        <v>44699.111771137541</v>
      </c>
      <c r="D30" s="3">
        <f t="shared" si="4"/>
        <v>0</v>
      </c>
      <c r="E30" s="3">
        <f t="shared" si="11"/>
        <v>44699.111771137541</v>
      </c>
      <c r="F30" s="3">
        <f t="shared" si="6"/>
        <v>590.02827537901555</v>
      </c>
      <c r="G30" s="1">
        <f t="shared" si="7"/>
        <v>2216.2190660110841</v>
      </c>
      <c r="H30" s="3">
        <f t="shared" si="8"/>
        <v>2806.2473413900998</v>
      </c>
      <c r="I30" s="1"/>
      <c r="J30" s="3">
        <f t="shared" si="0"/>
        <v>2806.2473413900998</v>
      </c>
      <c r="K30" s="3">
        <f t="shared" si="1"/>
        <v>42482.892705126455</v>
      </c>
      <c r="M30" s="23">
        <f t="shared" si="2"/>
        <v>2.8063303748708048E-2</v>
      </c>
      <c r="N30" s="28">
        <f t="shared" si="9"/>
        <v>0.75156547556893716</v>
      </c>
    </row>
    <row r="31" spans="1:16">
      <c r="A31" s="15">
        <v>44119</v>
      </c>
      <c r="B31" s="21">
        <v>20</v>
      </c>
      <c r="C31" s="3">
        <f t="shared" si="10"/>
        <v>42482.892705126455</v>
      </c>
      <c r="D31" s="3">
        <f t="shared" si="4"/>
        <v>0</v>
      </c>
      <c r="E31" s="3">
        <f t="shared" si="11"/>
        <v>42482.892705126455</v>
      </c>
      <c r="F31" s="3">
        <f t="shared" si="6"/>
        <v>560.77418370766918</v>
      </c>
      <c r="G31" s="1">
        <f t="shared" si="7"/>
        <v>2245.4731576824315</v>
      </c>
      <c r="H31" s="3">
        <f t="shared" si="8"/>
        <v>2806.2473413901007</v>
      </c>
      <c r="I31" s="1"/>
      <c r="J31" s="3">
        <f t="shared" si="0"/>
        <v>2806.2473413901007</v>
      </c>
      <c r="K31" s="3">
        <f t="shared" si="1"/>
        <v>40237.41954744402</v>
      </c>
      <c r="M31" s="23">
        <f t="shared" si="2"/>
        <v>2.667190185370873E-2</v>
      </c>
      <c r="N31" s="29">
        <f t="shared" si="9"/>
        <v>0.77823737742264587</v>
      </c>
    </row>
    <row r="32" spans="1:16">
      <c r="A32" s="15">
        <v>44150</v>
      </c>
      <c r="B32" s="21">
        <v>21</v>
      </c>
      <c r="C32" s="3">
        <f t="shared" si="10"/>
        <v>40237.41954744402</v>
      </c>
      <c r="D32" s="3">
        <f t="shared" si="4"/>
        <v>0</v>
      </c>
      <c r="E32" s="3">
        <f t="shared" si="11"/>
        <v>40237.41954744402</v>
      </c>
      <c r="F32" s="3">
        <f t="shared" si="6"/>
        <v>531.13393802626103</v>
      </c>
      <c r="G32" s="1">
        <f t="shared" si="7"/>
        <v>2275.1134033638405</v>
      </c>
      <c r="H32" s="3">
        <f t="shared" si="8"/>
        <v>2806.2473413901016</v>
      </c>
      <c r="I32" s="1"/>
      <c r="J32" s="3">
        <f t="shared" si="0"/>
        <v>2806.2473413901016</v>
      </c>
      <c r="K32" s="3">
        <f t="shared" si="1"/>
        <v>37962.306144080183</v>
      </c>
      <c r="M32" s="23">
        <f t="shared" si="2"/>
        <v>2.5262133453695417E-2</v>
      </c>
      <c r="N32" s="28">
        <f t="shared" si="9"/>
        <v>0.80349951087634131</v>
      </c>
    </row>
    <row r="33" spans="1:14">
      <c r="A33" s="15">
        <v>44180</v>
      </c>
      <c r="B33" s="21">
        <v>22</v>
      </c>
      <c r="C33" s="3">
        <f t="shared" si="10"/>
        <v>37962.306144080183</v>
      </c>
      <c r="D33" s="3">
        <f t="shared" si="4"/>
        <v>0</v>
      </c>
      <c r="E33" s="3">
        <f t="shared" si="11"/>
        <v>37962.306144080183</v>
      </c>
      <c r="F33" s="3">
        <f t="shared" si="6"/>
        <v>501.1024411018584</v>
      </c>
      <c r="G33" s="1">
        <f t="shared" si="7"/>
        <v>2305.1449002882455</v>
      </c>
      <c r="H33" s="3">
        <f t="shared" si="8"/>
        <v>2806.2473413901039</v>
      </c>
      <c r="I33" s="1"/>
      <c r="J33" s="3">
        <f t="shared" si="0"/>
        <v>2806.2473413901039</v>
      </c>
      <c r="K33" s="3">
        <f t="shared" si="1"/>
        <v>35657.161243791939</v>
      </c>
      <c r="M33" s="23">
        <f t="shared" si="2"/>
        <v>2.3833756110801931E-2</v>
      </c>
      <c r="N33" s="28">
        <f t="shared" si="9"/>
        <v>0.82733326698714327</v>
      </c>
    </row>
    <row r="34" spans="1:14">
      <c r="A34" s="15">
        <v>44211</v>
      </c>
      <c r="B34" s="21">
        <v>23</v>
      </c>
      <c r="C34" s="3">
        <f t="shared" si="10"/>
        <v>35657.161243791939</v>
      </c>
      <c r="D34" s="3">
        <f t="shared" si="4"/>
        <v>0</v>
      </c>
      <c r="E34" s="3">
        <f t="shared" si="11"/>
        <v>35657.161243791939</v>
      </c>
      <c r="F34" s="3">
        <f t="shared" si="6"/>
        <v>470.67452841805357</v>
      </c>
      <c r="G34" s="1">
        <f t="shared" si="7"/>
        <v>2335.5728129720519</v>
      </c>
      <c r="H34" s="3">
        <f t="shared" si="8"/>
        <v>2806.2473413901057</v>
      </c>
      <c r="I34" s="1"/>
      <c r="J34" s="3">
        <f t="shared" si="0"/>
        <v>2806.2473413901057</v>
      </c>
      <c r="K34" s="3">
        <f t="shared" si="1"/>
        <v>33321.588430819887</v>
      </c>
      <c r="M34" s="23">
        <f t="shared" si="2"/>
        <v>2.2386524186982251E-2</v>
      </c>
      <c r="N34" s="28">
        <f t="shared" si="9"/>
        <v>0.84971979117412555</v>
      </c>
    </row>
    <row r="35" spans="1:14">
      <c r="A35" s="15">
        <v>44242</v>
      </c>
      <c r="B35" s="21">
        <v>24</v>
      </c>
      <c r="C35" s="3">
        <f t="shared" si="10"/>
        <v>33321.588430819887</v>
      </c>
      <c r="D35" s="3">
        <f t="shared" si="4"/>
        <v>0</v>
      </c>
      <c r="E35" s="3">
        <f t="shared" si="11"/>
        <v>33321.588430819887</v>
      </c>
      <c r="F35" s="3">
        <f t="shared" si="6"/>
        <v>439.84496728682251</v>
      </c>
      <c r="G35" s="1">
        <f t="shared" si="7"/>
        <v>2366.4023741032825</v>
      </c>
      <c r="H35" s="3">
        <f t="shared" si="8"/>
        <v>2806.2473413901048</v>
      </c>
      <c r="I35" s="1"/>
      <c r="J35" s="3">
        <f t="shared" si="0"/>
        <v>2806.2473413901048</v>
      </c>
      <c r="K35" s="3">
        <f t="shared" si="1"/>
        <v>30955.186056716604</v>
      </c>
      <c r="M35" s="23">
        <f t="shared" si="2"/>
        <v>2.0920188801768151E-2</v>
      </c>
      <c r="N35" s="28">
        <f t="shared" si="9"/>
        <v>0.87063997997589371</v>
      </c>
    </row>
    <row r="36" spans="1:14">
      <c r="A36" s="15">
        <v>44270</v>
      </c>
      <c r="B36" s="21">
        <v>25</v>
      </c>
      <c r="C36" s="3">
        <f t="shared" si="10"/>
        <v>30955.186056716604</v>
      </c>
      <c r="D36" s="3">
        <f t="shared" si="4"/>
        <v>0</v>
      </c>
      <c r="E36" s="3">
        <f t="shared" si="11"/>
        <v>30955.186056716604</v>
      </c>
      <c r="F36" s="3">
        <f t="shared" si="6"/>
        <v>408.60845594865918</v>
      </c>
      <c r="G36" s="1">
        <f t="shared" si="7"/>
        <v>2397.6388854414499</v>
      </c>
      <c r="H36" s="3">
        <f t="shared" si="8"/>
        <v>2806.2473413901089</v>
      </c>
      <c r="I36" s="1"/>
      <c r="J36" s="3">
        <f t="shared" si="0"/>
        <v>2806.2473413901089</v>
      </c>
      <c r="K36" s="3">
        <f t="shared" si="1"/>
        <v>28557.547171275153</v>
      </c>
      <c r="M36" s="23">
        <f t="shared" si="2"/>
        <v>1.9434497789469221E-2</v>
      </c>
      <c r="N36" s="28">
        <f t="shared" si="9"/>
        <v>0.89007447776536297</v>
      </c>
    </row>
    <row r="37" spans="1:14">
      <c r="A37" s="15">
        <v>44301</v>
      </c>
      <c r="B37" s="21">
        <v>26</v>
      </c>
      <c r="C37" s="3">
        <f t="shared" si="10"/>
        <v>28557.547171275153</v>
      </c>
      <c r="D37" s="3">
        <f t="shared" si="4"/>
        <v>0</v>
      </c>
      <c r="E37" s="3">
        <f t="shared" si="11"/>
        <v>28557.547171275153</v>
      </c>
      <c r="F37" s="3">
        <f t="shared" si="6"/>
        <v>376.959622660832</v>
      </c>
      <c r="G37" s="1">
        <f t="shared" si="7"/>
        <v>2429.2877187292779</v>
      </c>
      <c r="H37" s="3">
        <f t="shared" si="8"/>
        <v>2806.2473413901098</v>
      </c>
      <c r="I37" s="1"/>
      <c r="J37" s="3">
        <f t="shared" si="0"/>
        <v>2806.2473413901098</v>
      </c>
      <c r="K37" s="3">
        <f t="shared" si="1"/>
        <v>26128.259452545877</v>
      </c>
      <c r="M37" s="23">
        <f t="shared" si="2"/>
        <v>1.7929195655807945E-2</v>
      </c>
      <c r="N37" s="28">
        <f t="shared" si="9"/>
        <v>0.90800367342117094</v>
      </c>
    </row>
    <row r="38" spans="1:14">
      <c r="A38" s="15">
        <v>44331</v>
      </c>
      <c r="B38" s="21">
        <v>27</v>
      </c>
      <c r="C38" s="3">
        <f t="shared" si="10"/>
        <v>26128.259452545877</v>
      </c>
      <c r="D38" s="3">
        <f t="shared" si="4"/>
        <v>0</v>
      </c>
      <c r="E38" s="3">
        <f t="shared" si="11"/>
        <v>26128.259452545877</v>
      </c>
      <c r="F38" s="3">
        <f t="shared" si="6"/>
        <v>344.89302477360559</v>
      </c>
      <c r="G38" s="1">
        <f t="shared" si="7"/>
        <v>2461.3543166165091</v>
      </c>
      <c r="H38" s="3">
        <f t="shared" si="8"/>
        <v>2806.2473413901148</v>
      </c>
      <c r="I38" s="1"/>
      <c r="J38" s="3">
        <f t="shared" si="0"/>
        <v>2806.2473413901148</v>
      </c>
      <c r="K38" s="3">
        <f t="shared" si="1"/>
        <v>23666.905135929366</v>
      </c>
      <c r="M38" s="23">
        <f t="shared" si="2"/>
        <v>1.6404023533982341E-2</v>
      </c>
      <c r="N38" s="28">
        <f t="shared" si="9"/>
        <v>0.92440769695515324</v>
      </c>
    </row>
    <row r="39" spans="1:14">
      <c r="A39" s="15">
        <v>44362</v>
      </c>
      <c r="B39" s="21">
        <v>28</v>
      </c>
      <c r="C39" s="3">
        <f t="shared" si="10"/>
        <v>23666.905135929366</v>
      </c>
      <c r="D39" s="3">
        <f t="shared" si="4"/>
        <v>0</v>
      </c>
      <c r="E39" s="3">
        <f t="shared" si="11"/>
        <v>23666.905135929366</v>
      </c>
      <c r="F39" s="3">
        <f t="shared" si="6"/>
        <v>312.40314779426762</v>
      </c>
      <c r="G39" s="1">
        <f t="shared" si="7"/>
        <v>2493.8441935958485</v>
      </c>
      <c r="H39" s="3">
        <f t="shared" si="8"/>
        <v>2806.2473413901162</v>
      </c>
      <c r="I39" s="1"/>
      <c r="J39" s="3">
        <f t="shared" si="0"/>
        <v>2806.2473413901162</v>
      </c>
      <c r="K39" s="3">
        <f t="shared" si="1"/>
        <v>21173.060942333519</v>
      </c>
      <c r="M39" s="23">
        <f t="shared" si="2"/>
        <v>1.485871914014863E-2</v>
      </c>
      <c r="N39" s="28">
        <f t="shared" si="9"/>
        <v>0.93926641609530181</v>
      </c>
    </row>
    <row r="40" spans="1:14">
      <c r="A40" s="15">
        <v>44392</v>
      </c>
      <c r="B40" s="21">
        <v>29</v>
      </c>
      <c r="C40" s="3">
        <f t="shared" si="10"/>
        <v>21173.060942333519</v>
      </c>
      <c r="D40" s="3">
        <f t="shared" si="4"/>
        <v>0</v>
      </c>
      <c r="E40" s="3">
        <f t="shared" si="11"/>
        <v>21173.060942333519</v>
      </c>
      <c r="F40" s="3">
        <f t="shared" si="6"/>
        <v>279.48440443880247</v>
      </c>
      <c r="G40" s="1">
        <f t="shared" si="7"/>
        <v>2526.7629369513156</v>
      </c>
      <c r="H40" s="3">
        <f t="shared" si="8"/>
        <v>2806.247341390118</v>
      </c>
      <c r="I40" s="1"/>
      <c r="J40" s="3">
        <f t="shared" si="0"/>
        <v>2806.247341390118</v>
      </c>
      <c r="K40" s="3">
        <f t="shared" si="1"/>
        <v>18646.298005382203</v>
      </c>
      <c r="M40" s="23">
        <f t="shared" si="2"/>
        <v>1.329301672831632E-2</v>
      </c>
      <c r="N40" s="28">
        <f t="shared" si="9"/>
        <v>0.9525594328236181</v>
      </c>
    </row>
    <row r="41" spans="1:14">
      <c r="A41" s="15">
        <v>44423</v>
      </c>
      <c r="B41" s="21">
        <v>30</v>
      </c>
      <c r="C41" s="3">
        <f t="shared" si="10"/>
        <v>18646.298005382203</v>
      </c>
      <c r="D41" s="3">
        <f t="shared" si="4"/>
        <v>0</v>
      </c>
      <c r="E41" s="3">
        <f t="shared" si="11"/>
        <v>18646.298005382203</v>
      </c>
      <c r="F41" s="3">
        <f t="shared" si="6"/>
        <v>246.13113367104509</v>
      </c>
      <c r="G41" s="1">
        <f t="shared" si="7"/>
        <v>2560.1162077190802</v>
      </c>
      <c r="H41" s="3">
        <f t="shared" si="8"/>
        <v>2806.2473413901253</v>
      </c>
      <c r="I41" s="1"/>
      <c r="J41" s="3">
        <f t="shared" si="0"/>
        <v>2806.2473413901253</v>
      </c>
      <c r="K41" s="3">
        <f t="shared" si="1"/>
        <v>16086.181797663123</v>
      </c>
      <c r="M41" s="23">
        <f t="shared" si="2"/>
        <v>1.1706647044647819E-2</v>
      </c>
      <c r="N41" s="28">
        <f t="shared" si="9"/>
        <v>0.96426607986826596</v>
      </c>
    </row>
    <row r="42" spans="1:14">
      <c r="A42" s="15">
        <v>44454</v>
      </c>
      <c r="B42" s="21">
        <v>31</v>
      </c>
      <c r="C42" s="3">
        <f t="shared" si="10"/>
        <v>16086.181797663123</v>
      </c>
      <c r="D42" s="3">
        <f t="shared" si="4"/>
        <v>0</v>
      </c>
      <c r="E42" s="3">
        <f t="shared" si="11"/>
        <v>16086.181797663123</v>
      </c>
      <c r="F42" s="3">
        <f t="shared" si="6"/>
        <v>212.33759972915323</v>
      </c>
      <c r="G42" s="1">
        <f t="shared" si="7"/>
        <v>2593.9097416609716</v>
      </c>
      <c r="H42" s="3">
        <f t="shared" si="8"/>
        <v>2806.2473413901248</v>
      </c>
      <c r="I42" s="1"/>
      <c r="J42" s="3">
        <f t="shared" si="0"/>
        <v>2806.2473413901248</v>
      </c>
      <c r="K42" s="3">
        <f t="shared" si="1"/>
        <v>13492.272056002152</v>
      </c>
      <c r="M42" s="23">
        <f t="shared" si="2"/>
        <v>1.0099337281154889E-2</v>
      </c>
      <c r="N42" s="28">
        <f t="shared" si="9"/>
        <v>0.97436541714942082</v>
      </c>
    </row>
    <row r="43" spans="1:14">
      <c r="A43" s="15">
        <v>44484</v>
      </c>
      <c r="B43" s="21">
        <v>32</v>
      </c>
      <c r="C43" s="3">
        <f t="shared" si="10"/>
        <v>13492.272056002152</v>
      </c>
      <c r="D43" s="3">
        <f t="shared" si="4"/>
        <v>0</v>
      </c>
      <c r="E43" s="3">
        <f t="shared" si="11"/>
        <v>13492.272056002152</v>
      </c>
      <c r="F43" s="3">
        <f t="shared" si="6"/>
        <v>178.09799113922841</v>
      </c>
      <c r="G43" s="1">
        <f t="shared" si="7"/>
        <v>2628.1493502508997</v>
      </c>
      <c r="H43" s="3">
        <f t="shared" si="8"/>
        <v>2806.247341390128</v>
      </c>
      <c r="I43" s="1"/>
      <c r="J43" s="3">
        <f t="shared" si="0"/>
        <v>2806.247341390128</v>
      </c>
      <c r="K43" s="3">
        <f t="shared" si="1"/>
        <v>10864.122705751251</v>
      </c>
      <c r="M43" s="23">
        <f t="shared" si="2"/>
        <v>8.4708110287838537E-3</v>
      </c>
      <c r="N43" s="28">
        <f t="shared" si="9"/>
        <v>0.98283622817820471</v>
      </c>
    </row>
    <row r="44" spans="1:14">
      <c r="A44" s="15">
        <v>44515</v>
      </c>
      <c r="B44" s="21">
        <v>33</v>
      </c>
      <c r="C44" s="3">
        <f t="shared" si="10"/>
        <v>10864.122705751251</v>
      </c>
      <c r="D44" s="3">
        <f t="shared" si="4"/>
        <v>0</v>
      </c>
      <c r="E44" s="3">
        <f t="shared" si="11"/>
        <v>10864.122705751251</v>
      </c>
      <c r="F44" s="3">
        <f t="shared" si="6"/>
        <v>143.40641971591651</v>
      </c>
      <c r="G44" s="1">
        <f t="shared" si="7"/>
        <v>2662.8409216742189</v>
      </c>
      <c r="H44" s="3">
        <f t="shared" si="8"/>
        <v>2806.2473413901353</v>
      </c>
      <c r="I44" s="1"/>
      <c r="J44" s="3">
        <f t="shared" si="0"/>
        <v>2806.2473413901353</v>
      </c>
      <c r="K44" s="3">
        <f t="shared" si="1"/>
        <v>8201.2817840770331</v>
      </c>
      <c r="M44" s="23">
        <f t="shared" si="2"/>
        <v>6.820788229881517E-3</v>
      </c>
      <c r="N44" s="28">
        <f t="shared" si="9"/>
        <v>0.98965701640808623</v>
      </c>
    </row>
    <row r="45" spans="1:14">
      <c r="A45" s="15">
        <v>44545</v>
      </c>
      <c r="B45" s="21">
        <v>34</v>
      </c>
      <c r="C45" s="3">
        <f t="shared" si="10"/>
        <v>8201.2817840770331</v>
      </c>
      <c r="D45" s="3">
        <f t="shared" si="4"/>
        <v>0</v>
      </c>
      <c r="E45" s="3">
        <f t="shared" si="11"/>
        <v>8201.2817840770331</v>
      </c>
      <c r="F45" s="3">
        <f t="shared" si="6"/>
        <v>108.25691954981684</v>
      </c>
      <c r="G45" s="1">
        <f t="shared" si="7"/>
        <v>2697.9904218403294</v>
      </c>
      <c r="H45" s="3">
        <f t="shared" si="8"/>
        <v>2806.2473413901462</v>
      </c>
      <c r="I45" s="1"/>
      <c r="J45" s="3">
        <f t="shared" si="0"/>
        <v>2806.2473413901462</v>
      </c>
      <c r="K45" s="3">
        <f t="shared" si="1"/>
        <v>5503.2913622367032</v>
      </c>
      <c r="M45" s="23">
        <f t="shared" si="2"/>
        <v>5.148985130033667E-3</v>
      </c>
      <c r="N45" s="28">
        <f t="shared" si="9"/>
        <v>0.99480600153811993</v>
      </c>
    </row>
    <row r="46" spans="1:14">
      <c r="A46" s="15">
        <v>44576</v>
      </c>
      <c r="B46" s="21">
        <v>35</v>
      </c>
      <c r="C46" s="3">
        <f t="shared" si="10"/>
        <v>5503.2913622367032</v>
      </c>
      <c r="D46" s="3">
        <f t="shared" si="4"/>
        <v>0</v>
      </c>
      <c r="E46" s="3">
        <f t="shared" si="11"/>
        <v>5503.2913622367032</v>
      </c>
      <c r="F46" s="3">
        <f t="shared" si="6"/>
        <v>72.643445981524479</v>
      </c>
      <c r="G46" s="1">
        <f t="shared" si="7"/>
        <v>2733.6038954086343</v>
      </c>
      <c r="H46" s="3">
        <f t="shared" si="8"/>
        <v>2806.2473413901589</v>
      </c>
      <c r="I46" s="1"/>
      <c r="J46" s="3">
        <f t="shared" si="0"/>
        <v>2806.2473413901589</v>
      </c>
      <c r="K46" s="3">
        <f t="shared" si="1"/>
        <v>2769.6874668280689</v>
      </c>
      <c r="M46" s="23">
        <f t="shared" si="2"/>
        <v>3.455114229267817E-3</v>
      </c>
      <c r="N46" s="28">
        <f t="shared" si="9"/>
        <v>0.99826111576738774</v>
      </c>
    </row>
    <row r="47" spans="1:14">
      <c r="A47" s="15">
        <v>44607</v>
      </c>
      <c r="B47" s="21">
        <v>36</v>
      </c>
      <c r="C47" s="3">
        <f t="shared" ref="C47" si="12">K46</f>
        <v>2769.6874668280689</v>
      </c>
      <c r="D47" s="3">
        <f t="shared" si="4"/>
        <v>0</v>
      </c>
      <c r="E47" s="3">
        <f t="shared" ref="E47" si="13">C47+D47</f>
        <v>2769.6874668280689</v>
      </c>
      <c r="F47" s="3">
        <f t="shared" si="6"/>
        <v>36.55987456213051</v>
      </c>
      <c r="G47" s="1">
        <f t="shared" si="7"/>
        <v>2769.6874668280479</v>
      </c>
      <c r="H47" s="3">
        <f t="shared" si="8"/>
        <v>2806.2473413901785</v>
      </c>
      <c r="I47" s="1"/>
      <c r="J47" s="3">
        <f t="shared" si="0"/>
        <v>2806.2473413901785</v>
      </c>
      <c r="K47" s="3">
        <f t="shared" si="1"/>
        <v>2.0918378140777349E-11</v>
      </c>
      <c r="M47" s="23">
        <f t="shared" si="2"/>
        <v>1.7388842326118508E-3</v>
      </c>
      <c r="N47" s="28">
        <f t="shared" si="9"/>
        <v>0.99999999999999956</v>
      </c>
    </row>
    <row r="48" spans="1:14">
      <c r="A48" s="15"/>
      <c r="B48" s="21"/>
      <c r="C48" s="3"/>
      <c r="D48" s="3"/>
      <c r="E48" s="3"/>
      <c r="F48" s="3"/>
      <c r="G48" s="1"/>
      <c r="H48" s="3"/>
      <c r="I48" s="1"/>
      <c r="J48" s="3"/>
      <c r="K48" s="3"/>
    </row>
    <row r="49" spans="1:11">
      <c r="A49" s="15"/>
      <c r="B49" s="21"/>
      <c r="C49" s="3"/>
      <c r="D49" s="3"/>
      <c r="E49" s="3"/>
      <c r="F49" s="3"/>
      <c r="G49" s="1"/>
      <c r="H49" s="3"/>
      <c r="I49" s="1"/>
      <c r="J49" s="3"/>
      <c r="K49" s="3"/>
    </row>
    <row r="50" spans="1:11">
      <c r="B50" s="21"/>
      <c r="C50" s="3"/>
      <c r="D50" s="3"/>
      <c r="E50" s="3"/>
      <c r="F50" s="3"/>
      <c r="G50" s="1"/>
      <c r="H50" s="3"/>
      <c r="I50" s="1"/>
      <c r="J50" s="3"/>
      <c r="K50" s="3"/>
    </row>
    <row r="51" spans="1:11">
      <c r="B51" s="21"/>
      <c r="C51" s="3"/>
      <c r="D51" s="3"/>
      <c r="E51" s="3"/>
      <c r="F51" s="3"/>
      <c r="G51" s="1"/>
      <c r="H51" s="3"/>
      <c r="I51" s="1"/>
      <c r="J51" s="3"/>
      <c r="K51" s="3"/>
    </row>
    <row r="52" spans="1:11">
      <c r="B52" s="21"/>
      <c r="C52" s="3"/>
      <c r="D52" s="3"/>
      <c r="E52" s="3"/>
      <c r="F52" s="3"/>
      <c r="G52" s="1"/>
      <c r="H52" s="3"/>
      <c r="I52" s="1"/>
      <c r="J52" s="3"/>
      <c r="K52" s="3"/>
    </row>
    <row r="53" spans="1:11">
      <c r="B53" s="21"/>
      <c r="C53" s="3"/>
      <c r="D53" s="3"/>
      <c r="E53" s="3"/>
      <c r="F53" s="3"/>
      <c r="G53" s="1"/>
      <c r="H53" s="3"/>
      <c r="I53" s="1"/>
      <c r="J53" s="3"/>
      <c r="K53" s="3"/>
    </row>
    <row r="54" spans="1:11">
      <c r="B54" s="21"/>
      <c r="C54" s="3"/>
      <c r="D54" s="3"/>
      <c r="E54" s="3"/>
      <c r="F54" s="3"/>
      <c r="G54" s="1"/>
      <c r="H54" s="3"/>
      <c r="I54" s="1"/>
      <c r="J54" s="3"/>
      <c r="K54" s="3"/>
    </row>
    <row r="55" spans="1:11">
      <c r="B55" s="21"/>
      <c r="C55" s="3"/>
      <c r="D55" s="3"/>
      <c r="E55" s="3"/>
      <c r="F55" s="3"/>
      <c r="G55" s="1"/>
      <c r="H55" s="3"/>
      <c r="I55" s="1"/>
      <c r="J55" s="3"/>
      <c r="K55" s="3"/>
    </row>
    <row r="56" spans="1:11">
      <c r="B56" s="21"/>
      <c r="C56" s="3"/>
      <c r="D56" s="3"/>
      <c r="E56" s="3"/>
      <c r="F56" s="3"/>
      <c r="G56" s="1"/>
      <c r="H56" s="3"/>
      <c r="I56" s="1"/>
      <c r="J56" s="3"/>
      <c r="K56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20A-06CE-E348-BDA9-182BB6AAB8F3}">
  <dimension ref="B2:I400"/>
  <sheetViews>
    <sheetView workbookViewId="0">
      <selection activeCell="E32" sqref="E32"/>
    </sheetView>
  </sheetViews>
  <sheetFormatPr baseColWidth="10" defaultColWidth="11" defaultRowHeight="16"/>
  <cols>
    <col min="2" max="2" width="4.1640625" bestFit="1" customWidth="1"/>
    <col min="3" max="6" width="14.1640625" bestFit="1" customWidth="1"/>
    <col min="7" max="7" width="13.1640625" bestFit="1" customWidth="1"/>
    <col min="8" max="8" width="12.1640625" bestFit="1" customWidth="1"/>
  </cols>
  <sheetData>
    <row r="2" spans="2:9">
      <c r="E2" t="s">
        <v>39</v>
      </c>
      <c r="F2" s="3">
        <f>F5-E5</f>
        <v>-31945.490993316133</v>
      </c>
    </row>
    <row r="3" spans="2:9">
      <c r="E3" t="s">
        <v>38</v>
      </c>
      <c r="F3" s="23">
        <f>F5/E5-1</f>
        <v>-0.60308198234932608</v>
      </c>
    </row>
    <row r="5" spans="2:9">
      <c r="E5" s="3">
        <f>SUM(E7:E11000)</f>
        <v>52970.395283359983</v>
      </c>
      <c r="F5" s="3">
        <f>SUM(F7:F11000)</f>
        <v>21024.904290043851</v>
      </c>
    </row>
    <row r="6" spans="2:9">
      <c r="C6" t="s">
        <v>19</v>
      </c>
      <c r="D6" t="s">
        <v>37</v>
      </c>
      <c r="E6" t="s">
        <v>19</v>
      </c>
      <c r="F6" t="s">
        <v>37</v>
      </c>
      <c r="G6" t="s">
        <v>19</v>
      </c>
      <c r="H6" t="s">
        <v>37</v>
      </c>
    </row>
    <row r="7" spans="2:9">
      <c r="B7">
        <v>1</v>
      </c>
      <c r="C7" s="3">
        <f>SAC!C12</f>
        <v>100000</v>
      </c>
      <c r="D7" s="3">
        <f>PRICE!C12</f>
        <v>80000</v>
      </c>
      <c r="E7" s="3">
        <f>SAC!F12</f>
        <v>2000</v>
      </c>
      <c r="F7" s="3">
        <f>PRICE!F12</f>
        <v>1056</v>
      </c>
      <c r="G7" s="3">
        <f>SAC!J12</f>
        <v>0</v>
      </c>
      <c r="H7" s="3">
        <f>PRICE!J12</f>
        <v>2806.2473413900852</v>
      </c>
    </row>
    <row r="8" spans="2:9">
      <c r="B8">
        <v>2</v>
      </c>
      <c r="C8" s="3">
        <f>SAC!C13</f>
        <v>102000</v>
      </c>
      <c r="D8" s="3">
        <f>PRICE!C13</f>
        <v>78249.752658609912</v>
      </c>
      <c r="E8" s="3">
        <f>SAC!F13</f>
        <v>2040</v>
      </c>
      <c r="F8" s="3">
        <f>PRICE!F13</f>
        <v>1032.8967350936509</v>
      </c>
      <c r="G8" s="3">
        <f>SAC!J13</f>
        <v>0</v>
      </c>
      <c r="H8" s="3">
        <f>PRICE!J13</f>
        <v>2806.2473413900861</v>
      </c>
      <c r="I8" s="3"/>
    </row>
    <row r="9" spans="2:9">
      <c r="B9">
        <v>3</v>
      </c>
      <c r="C9" s="3">
        <f>SAC!C14</f>
        <v>104040</v>
      </c>
      <c r="D9" s="3">
        <f>PRICE!C14</f>
        <v>76476.402052313482</v>
      </c>
      <c r="E9" s="3">
        <f>SAC!F14</f>
        <v>2080.8000000000002</v>
      </c>
      <c r="F9" s="3">
        <f>PRICE!F14</f>
        <v>1009.488507090538</v>
      </c>
      <c r="G9" s="3">
        <f>SAC!J14</f>
        <v>0</v>
      </c>
      <c r="H9" s="3">
        <f>PRICE!J14</f>
        <v>2806.2473413900866</v>
      </c>
      <c r="I9" s="3"/>
    </row>
    <row r="10" spans="2:9">
      <c r="B10">
        <v>4</v>
      </c>
      <c r="C10" s="3">
        <f>SAC!C15</f>
        <v>106120.8</v>
      </c>
      <c r="D10" s="3">
        <f>PRICE!C15</f>
        <v>74679.643218013938</v>
      </c>
      <c r="E10" s="3">
        <f>SAC!F15</f>
        <v>2122.4160000000002</v>
      </c>
      <c r="F10" s="3">
        <f>PRICE!F15</f>
        <v>985.77129047778396</v>
      </c>
      <c r="G10" s="3">
        <f>SAC!J15</f>
        <v>0</v>
      </c>
      <c r="H10" s="3">
        <f>PRICE!J15</f>
        <v>2806.2473413900875</v>
      </c>
      <c r="I10" s="3"/>
    </row>
    <row r="11" spans="2:9">
      <c r="B11">
        <v>5</v>
      </c>
      <c r="C11" s="3">
        <f>SAC!C16</f>
        <v>108243.216</v>
      </c>
      <c r="D11" s="3">
        <f>PRICE!C16</f>
        <v>72859.167167101637</v>
      </c>
      <c r="E11" s="3">
        <f>SAC!F16</f>
        <v>2164.8643200000001</v>
      </c>
      <c r="F11" s="3">
        <f>PRICE!F16</f>
        <v>961.74100660574163</v>
      </c>
      <c r="G11" s="3">
        <f>SAC!J16</f>
        <v>0</v>
      </c>
      <c r="H11" s="3">
        <f>PRICE!J16</f>
        <v>2806.247341390088</v>
      </c>
      <c r="I11" s="3"/>
    </row>
    <row r="12" spans="2:9">
      <c r="B12">
        <v>6</v>
      </c>
      <c r="C12" s="3">
        <f>SAC!C17</f>
        <v>110408.08031999999</v>
      </c>
      <c r="D12" s="3">
        <f>PRICE!C17</f>
        <v>71014.660832317284</v>
      </c>
      <c r="E12" s="3">
        <f>SAC!F17</f>
        <v>2208.1616064</v>
      </c>
      <c r="F12" s="3">
        <f>PRICE!F17</f>
        <v>937.3935229865881</v>
      </c>
      <c r="G12" s="3">
        <f>SAC!J17</f>
        <v>0</v>
      </c>
      <c r="H12" s="3">
        <f>PRICE!J17</f>
        <v>2806.247341390088</v>
      </c>
      <c r="I12" s="3"/>
    </row>
    <row r="13" spans="2:9">
      <c r="B13">
        <v>7</v>
      </c>
      <c r="C13" s="3">
        <f>SAC!C18</f>
        <v>112616.24192639999</v>
      </c>
      <c r="D13" s="3">
        <f>PRICE!C18</f>
        <v>69145.807013913785</v>
      </c>
      <c r="E13" s="3">
        <f>SAC!F18</f>
        <v>2252.3248385279999</v>
      </c>
      <c r="F13" s="3">
        <f>PRICE!F18</f>
        <v>912.72465258366196</v>
      </c>
      <c r="G13" s="3">
        <f>SAC!J18</f>
        <v>5380.5537809279995</v>
      </c>
      <c r="H13" s="3">
        <f>PRICE!J18</f>
        <v>2806.2473413900884</v>
      </c>
      <c r="I13" s="3"/>
    </row>
    <row r="14" spans="2:9">
      <c r="B14">
        <v>8</v>
      </c>
      <c r="C14" s="3">
        <f>SAC!C19</f>
        <v>109488.01298399999</v>
      </c>
      <c r="D14" s="3">
        <f>PRICE!C19</f>
        <v>67252.284325107365</v>
      </c>
      <c r="E14" s="3">
        <f>SAC!F19</f>
        <v>2189.7602596799998</v>
      </c>
      <c r="F14" s="3">
        <f>PRICE!F19</f>
        <v>887.73015309141715</v>
      </c>
      <c r="G14" s="3">
        <f>SAC!J19</f>
        <v>5317.9892020799998</v>
      </c>
      <c r="H14" s="3">
        <f>PRICE!J19</f>
        <v>2806.2473413900884</v>
      </c>
      <c r="I14" s="3"/>
    </row>
    <row r="15" spans="2:9">
      <c r="B15">
        <v>9</v>
      </c>
      <c r="C15" s="3">
        <f>SAC!C20</f>
        <v>106359.78404159998</v>
      </c>
      <c r="D15" s="3">
        <f>PRICE!C20</f>
        <v>65333.767136808696</v>
      </c>
      <c r="E15" s="3">
        <f>SAC!F20</f>
        <v>2127.1956808319997</v>
      </c>
      <c r="F15" s="3">
        <f>PRICE!F20</f>
        <v>862.40572620587477</v>
      </c>
      <c r="G15" s="3">
        <f>SAC!J20</f>
        <v>5255.4246232319992</v>
      </c>
      <c r="H15" s="3">
        <f>PRICE!J20</f>
        <v>2806.2473413900912</v>
      </c>
      <c r="I15" s="3"/>
    </row>
    <row r="16" spans="2:9">
      <c r="B16">
        <v>10</v>
      </c>
      <c r="C16" s="3">
        <f>SAC!C21</f>
        <v>103231.55509919998</v>
      </c>
      <c r="D16" s="3">
        <f>PRICE!C21</f>
        <v>63389.925521624478</v>
      </c>
      <c r="E16" s="3">
        <f>SAC!F21</f>
        <v>2064.6311019839995</v>
      </c>
      <c r="F16" s="3">
        <f>PRICE!F21</f>
        <v>836.74701688544314</v>
      </c>
      <c r="G16" s="3">
        <f>SAC!J21</f>
        <v>5192.8600443839987</v>
      </c>
      <c r="H16" s="3">
        <f>PRICE!J21</f>
        <v>2806.2473413900912</v>
      </c>
      <c r="I16" s="3"/>
    </row>
    <row r="17" spans="2:9">
      <c r="B17">
        <v>11</v>
      </c>
      <c r="C17" s="3">
        <f>SAC!C22</f>
        <v>100103.32615679997</v>
      </c>
      <c r="D17" s="3">
        <f>PRICE!C22</f>
        <v>61420.425197119832</v>
      </c>
      <c r="E17" s="3">
        <f>SAC!F22</f>
        <v>2002.0665231359994</v>
      </c>
      <c r="F17" s="3">
        <f>PRICE!F22</f>
        <v>810.74961260198177</v>
      </c>
      <c r="G17" s="3">
        <f>SAC!J22</f>
        <v>5130.295465535999</v>
      </c>
      <c r="H17" s="3">
        <f>PRICE!J22</f>
        <v>2806.2473413900921</v>
      </c>
      <c r="I17" s="3"/>
    </row>
    <row r="18" spans="2:9">
      <c r="B18">
        <v>12</v>
      </c>
      <c r="C18" s="3">
        <f>SAC!C23</f>
        <v>96975.097214399968</v>
      </c>
      <c r="D18" s="3">
        <f>PRICE!C23</f>
        <v>59424.92746833172</v>
      </c>
      <c r="E18" s="3">
        <f>SAC!F23</f>
        <v>1939.5019442879993</v>
      </c>
      <c r="F18" s="3">
        <f>PRICE!F23</f>
        <v>784.40904258197872</v>
      </c>
      <c r="G18" s="3">
        <f>SAC!J23</f>
        <v>5067.7308866879985</v>
      </c>
      <c r="H18" s="3">
        <f>PRICE!J23</f>
        <v>2806.2473413900939</v>
      </c>
      <c r="I18" s="3"/>
    </row>
    <row r="19" spans="2:9">
      <c r="B19">
        <v>13</v>
      </c>
      <c r="C19" s="3">
        <f>SAC!C24</f>
        <v>93846.868271999963</v>
      </c>
      <c r="D19" s="3">
        <f>PRICE!C24</f>
        <v>57403.089169523606</v>
      </c>
      <c r="E19" s="3">
        <f>SAC!F24</f>
        <v>1876.9373654399992</v>
      </c>
      <c r="F19" s="3">
        <f>PRICE!F24</f>
        <v>757.72077703771163</v>
      </c>
      <c r="G19" s="3">
        <f>SAC!J24</f>
        <v>5005.1663078399979</v>
      </c>
      <c r="H19" s="3">
        <f>PRICE!J24</f>
        <v>2806.247341390093</v>
      </c>
      <c r="I19" s="3"/>
    </row>
    <row r="20" spans="2:9">
      <c r="B20">
        <v>14</v>
      </c>
      <c r="C20" s="3">
        <f>SAC!C25</f>
        <v>90718.639329599959</v>
      </c>
      <c r="D20" s="3">
        <f>PRICE!C25</f>
        <v>55354.562605171224</v>
      </c>
      <c r="E20" s="3">
        <f>SAC!F25</f>
        <v>1814.3727865919991</v>
      </c>
      <c r="F20" s="3">
        <f>PRICE!F25</f>
        <v>730.68022638826017</v>
      </c>
      <c r="G20" s="3">
        <f>SAC!J25</f>
        <v>4942.6017289919982</v>
      </c>
      <c r="H20" s="3">
        <f>PRICE!J25</f>
        <v>2806.2473413900957</v>
      </c>
      <c r="I20" s="3"/>
    </row>
    <row r="21" spans="2:9">
      <c r="B21">
        <v>15</v>
      </c>
      <c r="C21" s="3">
        <f>SAC!C26</f>
        <v>87590.410387199954</v>
      </c>
      <c r="D21" s="3">
        <f>PRICE!C26</f>
        <v>53278.995490169385</v>
      </c>
      <c r="E21" s="3">
        <f>SAC!F26</f>
        <v>1751.8082077439992</v>
      </c>
      <c r="F21" s="3">
        <f>PRICE!F26</f>
        <v>703.28274047023592</v>
      </c>
      <c r="G21" s="3">
        <f>SAC!J26</f>
        <v>4880.0371501439977</v>
      </c>
      <c r="H21" s="3">
        <f>PRICE!J26</f>
        <v>2806.2473413900957</v>
      </c>
      <c r="I21" s="3"/>
    </row>
    <row r="22" spans="2:9">
      <c r="B22">
        <v>16</v>
      </c>
      <c r="C22" s="3">
        <f>SAC!C27</f>
        <v>84462.18144479995</v>
      </c>
      <c r="D22" s="3">
        <f>PRICE!C27</f>
        <v>51176.030889249523</v>
      </c>
      <c r="E22" s="3">
        <f>SAC!F27</f>
        <v>1689.2436288959991</v>
      </c>
      <c r="F22" s="3">
        <f>PRICE!F27</f>
        <v>675.52360773809369</v>
      </c>
      <c r="G22" s="3">
        <f>SAC!J27</f>
        <v>4817.4725712959971</v>
      </c>
      <c r="H22" s="3">
        <f>PRICE!J27</f>
        <v>2806.2473413900952</v>
      </c>
      <c r="I22" s="3"/>
    </row>
    <row r="23" spans="2:9">
      <c r="B23">
        <v>17</v>
      </c>
      <c r="C23" s="3">
        <f>SAC!C28</f>
        <v>81333.952502399945</v>
      </c>
      <c r="D23" s="3">
        <f>PRICE!C28</f>
        <v>49045.307155597518</v>
      </c>
      <c r="E23" s="3">
        <f>SAC!F28</f>
        <v>1626.679050047999</v>
      </c>
      <c r="F23" s="3">
        <f>PRICE!F28</f>
        <v>647.3980544538872</v>
      </c>
      <c r="G23" s="3">
        <f>SAC!J28</f>
        <v>4754.9079924479965</v>
      </c>
      <c r="H23" s="3">
        <f>PRICE!J28</f>
        <v>2806.2473413900962</v>
      </c>
      <c r="I23" s="3"/>
    </row>
    <row r="24" spans="2:9">
      <c r="B24">
        <v>18</v>
      </c>
      <c r="C24" s="3">
        <f>SAC!C29</f>
        <v>78205.72355999994</v>
      </c>
      <c r="D24" s="3">
        <f>PRICE!C29</f>
        <v>46886.457868661309</v>
      </c>
      <c r="E24" s="3">
        <f>SAC!F29</f>
        <v>1564.1144711999989</v>
      </c>
      <c r="F24" s="3">
        <f>PRICE!F29</f>
        <v>618.90124386632931</v>
      </c>
      <c r="G24" s="3">
        <f>SAC!J29</f>
        <v>4692.3434135999969</v>
      </c>
      <c r="H24" s="3">
        <f>PRICE!J29</f>
        <v>2806.2473413900989</v>
      </c>
      <c r="I24" s="3"/>
    </row>
    <row r="25" spans="2:9">
      <c r="B25">
        <v>19</v>
      </c>
      <c r="C25" s="3">
        <f>SAC!C30</f>
        <v>75077.494617599936</v>
      </c>
      <c r="D25" s="3">
        <f>PRICE!C30</f>
        <v>44699.111771137541</v>
      </c>
      <c r="E25" s="3">
        <f>SAC!F30</f>
        <v>1501.5498923519988</v>
      </c>
      <c r="F25" s="3">
        <f>PRICE!F30</f>
        <v>590.02827537901555</v>
      </c>
      <c r="G25" s="3">
        <f>SAC!J30</f>
        <v>4629.7788347519963</v>
      </c>
      <c r="H25" s="3">
        <f>PRICE!J30</f>
        <v>2806.2473413900998</v>
      </c>
      <c r="I25" s="3"/>
    </row>
    <row r="26" spans="2:9">
      <c r="B26">
        <v>20</v>
      </c>
      <c r="C26" s="3">
        <f>SAC!C31</f>
        <v>71949.265675199946</v>
      </c>
      <c r="D26" s="3">
        <f>PRICE!C31</f>
        <v>42482.892705126455</v>
      </c>
      <c r="E26" s="3">
        <f>SAC!F31</f>
        <v>1438.9853135039989</v>
      </c>
      <c r="F26" s="3">
        <f>PRICE!F31</f>
        <v>560.77418370766918</v>
      </c>
      <c r="G26" s="3">
        <f>SAC!J31</f>
        <v>4567.2142559039967</v>
      </c>
      <c r="H26" s="3">
        <f>PRICE!J31</f>
        <v>2806.2473413901007</v>
      </c>
      <c r="I26" s="3"/>
    </row>
    <row r="27" spans="2:9">
      <c r="B27">
        <v>21</v>
      </c>
      <c r="C27" s="3">
        <f>SAC!C32</f>
        <v>68821.036732799941</v>
      </c>
      <c r="D27" s="3">
        <f>PRICE!C32</f>
        <v>40237.41954744402</v>
      </c>
      <c r="E27" s="3">
        <f>SAC!F32</f>
        <v>1376.4207346559988</v>
      </c>
      <c r="F27" s="3">
        <f>PRICE!F32</f>
        <v>531.13393802626103</v>
      </c>
      <c r="G27" s="3">
        <f>SAC!J32</f>
        <v>4504.6496770559961</v>
      </c>
      <c r="H27" s="3">
        <f>PRICE!J32</f>
        <v>2806.2473413901016</v>
      </c>
      <c r="I27" s="3"/>
    </row>
    <row r="28" spans="2:9">
      <c r="B28">
        <v>22</v>
      </c>
      <c r="C28" s="3">
        <f>SAC!C33</f>
        <v>65692.807790399936</v>
      </c>
      <c r="D28" s="3">
        <f>PRICE!C33</f>
        <v>37962.306144080183</v>
      </c>
      <c r="E28" s="3">
        <f>SAC!F33</f>
        <v>1313.8561558079987</v>
      </c>
      <c r="F28" s="3">
        <f>PRICE!F33</f>
        <v>501.1024411018584</v>
      </c>
      <c r="G28" s="3">
        <f>SAC!J33</f>
        <v>4442.0850982079955</v>
      </c>
      <c r="H28" s="3">
        <f>PRICE!J33</f>
        <v>2806.2473413901039</v>
      </c>
      <c r="I28" s="3"/>
    </row>
    <row r="29" spans="2:9">
      <c r="B29">
        <v>23</v>
      </c>
      <c r="C29" s="3">
        <f>SAC!C34</f>
        <v>62564.578847999939</v>
      </c>
      <c r="D29" s="3">
        <f>PRICE!C34</f>
        <v>35657.161243791939</v>
      </c>
      <c r="E29" s="3">
        <f>SAC!F34</f>
        <v>1251.2915769599988</v>
      </c>
      <c r="F29" s="3">
        <f>PRICE!F34</f>
        <v>470.67452841805357</v>
      </c>
      <c r="G29" s="3">
        <f>SAC!J34</f>
        <v>4379.5205193599959</v>
      </c>
      <c r="H29" s="3">
        <f>PRICE!J34</f>
        <v>2806.2473413901057</v>
      </c>
      <c r="I29" s="3"/>
    </row>
    <row r="30" spans="2:9">
      <c r="B30">
        <v>24</v>
      </c>
      <c r="C30" s="3">
        <f>SAC!C35</f>
        <v>59436.349905599942</v>
      </c>
      <c r="D30" s="3">
        <f>PRICE!C35</f>
        <v>33321.588430819887</v>
      </c>
      <c r="E30" s="3">
        <f>SAC!F35</f>
        <v>1188.7269981119989</v>
      </c>
      <c r="F30" s="3">
        <f>PRICE!F35</f>
        <v>439.84496728682251</v>
      </c>
      <c r="G30" s="3">
        <f>SAC!J35</f>
        <v>4316.9559405119962</v>
      </c>
      <c r="H30" s="3">
        <f>PRICE!J35</f>
        <v>2806.2473413901048</v>
      </c>
      <c r="I30" s="3"/>
    </row>
    <row r="31" spans="2:9">
      <c r="B31">
        <v>25</v>
      </c>
      <c r="C31" s="3">
        <f>SAC!C36</f>
        <v>56308.120963199945</v>
      </c>
      <c r="D31" s="3">
        <f>PRICE!C36</f>
        <v>30955.186056716604</v>
      </c>
      <c r="E31" s="3">
        <f>SAC!F36</f>
        <v>1126.162419263999</v>
      </c>
      <c r="F31" s="3">
        <f>PRICE!F36</f>
        <v>408.60845594865918</v>
      </c>
      <c r="G31" s="3">
        <f>SAC!J36</f>
        <v>4254.3913616639957</v>
      </c>
      <c r="H31" s="3">
        <f>PRICE!J36</f>
        <v>2806.2473413901089</v>
      </c>
      <c r="I31" s="3"/>
    </row>
    <row r="32" spans="2:9">
      <c r="B32">
        <v>26</v>
      </c>
      <c r="C32" s="3">
        <f>SAC!C37</f>
        <v>53179.892020799947</v>
      </c>
      <c r="D32" s="3">
        <f>PRICE!C37</f>
        <v>28557.547171275153</v>
      </c>
      <c r="E32" s="3">
        <f>SAC!F37</f>
        <v>1063.5978404159989</v>
      </c>
      <c r="F32" s="3">
        <f>PRICE!F37</f>
        <v>376.959622660832</v>
      </c>
      <c r="G32" s="3">
        <f>SAC!J37</f>
        <v>4191.826782815996</v>
      </c>
      <c r="H32" s="3">
        <f>PRICE!J37</f>
        <v>2806.2473413901098</v>
      </c>
      <c r="I32" s="3"/>
    </row>
    <row r="33" spans="2:9">
      <c r="B33">
        <v>27</v>
      </c>
      <c r="C33" s="3">
        <f>SAC!C38</f>
        <v>50051.66307839995</v>
      </c>
      <c r="D33" s="3">
        <f>PRICE!C38</f>
        <v>26128.259452545877</v>
      </c>
      <c r="E33" s="3">
        <f>SAC!F38</f>
        <v>1001.033261567999</v>
      </c>
      <c r="F33" s="3">
        <f>PRICE!F38</f>
        <v>344.89302477360559</v>
      </c>
      <c r="G33" s="3">
        <f>SAC!J38</f>
        <v>4129.2622039679954</v>
      </c>
      <c r="H33" s="3">
        <f>PRICE!J38</f>
        <v>2806.2473413901148</v>
      </c>
      <c r="I33" s="3"/>
    </row>
    <row r="34" spans="2:9">
      <c r="B34">
        <v>28</v>
      </c>
      <c r="C34" s="3">
        <f>SAC!C39</f>
        <v>46923.434135999953</v>
      </c>
      <c r="D34" s="3">
        <f>PRICE!C39</f>
        <v>23666.905135929366</v>
      </c>
      <c r="E34" s="3">
        <f>SAC!F39</f>
        <v>938.46868271999904</v>
      </c>
      <c r="F34" s="3">
        <f>PRICE!F39</f>
        <v>312.40314779426762</v>
      </c>
      <c r="G34" s="3">
        <f>SAC!J39</f>
        <v>4066.6976251199958</v>
      </c>
      <c r="H34" s="3">
        <f>PRICE!J39</f>
        <v>2806.2473413901162</v>
      </c>
      <c r="I34" s="3"/>
    </row>
    <row r="35" spans="2:9">
      <c r="B35">
        <v>29</v>
      </c>
      <c r="C35" s="3">
        <f>SAC!C40</f>
        <v>43795.205193599955</v>
      </c>
      <c r="D35" s="3">
        <f>PRICE!C40</f>
        <v>21173.060942333519</v>
      </c>
      <c r="E35" s="3">
        <f>SAC!F40</f>
        <v>875.90410387199915</v>
      </c>
      <c r="F35" s="3">
        <f>PRICE!F40</f>
        <v>279.48440443880247</v>
      </c>
      <c r="G35" s="3">
        <f>SAC!J40</f>
        <v>4004.1330462719961</v>
      </c>
      <c r="H35" s="3">
        <f>PRICE!J40</f>
        <v>2806.247341390118</v>
      </c>
      <c r="I35" s="3"/>
    </row>
    <row r="36" spans="2:9">
      <c r="B36">
        <v>30</v>
      </c>
      <c r="C36" s="3">
        <f>SAC!C41</f>
        <v>40666.976251199958</v>
      </c>
      <c r="D36" s="3">
        <f>PRICE!C41</f>
        <v>18646.298005382203</v>
      </c>
      <c r="E36" s="3">
        <f>SAC!F41</f>
        <v>813.33952502399916</v>
      </c>
      <c r="F36" s="3">
        <f>PRICE!F41</f>
        <v>246.13113367104509</v>
      </c>
      <c r="G36" s="3">
        <f>SAC!J41</f>
        <v>3941.568467423996</v>
      </c>
      <c r="H36" s="3">
        <f>PRICE!J41</f>
        <v>2806.2473413901253</v>
      </c>
      <c r="I36" s="3"/>
    </row>
    <row r="37" spans="2:9">
      <c r="B37">
        <v>31</v>
      </c>
      <c r="C37" s="3">
        <f>SAC!C42</f>
        <v>37538.747308799961</v>
      </c>
      <c r="D37" s="3">
        <f>PRICE!C42</f>
        <v>16086.181797663123</v>
      </c>
      <c r="E37" s="3">
        <f>SAC!F42</f>
        <v>750.77494617599928</v>
      </c>
      <c r="F37" s="3">
        <f>PRICE!F42</f>
        <v>212.33759972915323</v>
      </c>
      <c r="G37" s="3">
        <f>SAC!J42</f>
        <v>3879.0038885759959</v>
      </c>
      <c r="H37" s="3">
        <f>PRICE!J42</f>
        <v>2806.2473413901248</v>
      </c>
      <c r="I37" s="3"/>
    </row>
    <row r="38" spans="2:9">
      <c r="B38">
        <v>32</v>
      </c>
      <c r="C38" s="3">
        <f>SAC!C43</f>
        <v>34410.518366399963</v>
      </c>
      <c r="D38" s="3">
        <f>PRICE!C43</f>
        <v>13492.272056002152</v>
      </c>
      <c r="E38" s="3">
        <f>SAC!F43</f>
        <v>688.21036732799928</v>
      </c>
      <c r="F38" s="3">
        <f>PRICE!F43</f>
        <v>178.09799113922841</v>
      </c>
      <c r="G38" s="3">
        <f>SAC!J43</f>
        <v>3816.4393097279963</v>
      </c>
      <c r="H38" s="3">
        <f>PRICE!J43</f>
        <v>2806.247341390128</v>
      </c>
      <c r="I38" s="3"/>
    </row>
    <row r="39" spans="2:9">
      <c r="B39">
        <v>33</v>
      </c>
      <c r="C39" s="3">
        <f>SAC!C44</f>
        <v>31282.289423999966</v>
      </c>
      <c r="D39" s="3">
        <f>PRICE!C44</f>
        <v>10864.122705751251</v>
      </c>
      <c r="E39" s="3">
        <f>SAC!F44</f>
        <v>625.64578847999928</v>
      </c>
      <c r="F39" s="3">
        <f>PRICE!F44</f>
        <v>143.40641971591651</v>
      </c>
      <c r="G39" s="3">
        <f>SAC!J44</f>
        <v>3753.8747308799957</v>
      </c>
      <c r="H39" s="3">
        <f>PRICE!J44</f>
        <v>2806.2473413901353</v>
      </c>
      <c r="I39" s="3"/>
    </row>
    <row r="40" spans="2:9">
      <c r="B40">
        <v>34</v>
      </c>
      <c r="C40" s="3">
        <f>SAC!C45</f>
        <v>28154.060481599969</v>
      </c>
      <c r="D40" s="3">
        <f>PRICE!C45</f>
        <v>8201.2817840770331</v>
      </c>
      <c r="E40" s="3">
        <f>SAC!F45</f>
        <v>563.0812096319994</v>
      </c>
      <c r="F40" s="3">
        <f>PRICE!F45</f>
        <v>108.25691954981684</v>
      </c>
      <c r="G40" s="3">
        <f>SAC!J45</f>
        <v>3691.310152031996</v>
      </c>
      <c r="H40" s="3">
        <f>PRICE!J45</f>
        <v>2806.2473413901462</v>
      </c>
      <c r="I40" s="3"/>
    </row>
    <row r="41" spans="2:9">
      <c r="B41">
        <v>35</v>
      </c>
      <c r="C41" s="3">
        <f>SAC!C46</f>
        <v>25025.831539199971</v>
      </c>
      <c r="D41" s="3">
        <f>PRICE!C46</f>
        <v>5503.2913622367032</v>
      </c>
      <c r="E41" s="3">
        <f>SAC!F46</f>
        <v>500.51663078399946</v>
      </c>
      <c r="F41" s="3">
        <f>PRICE!F46</f>
        <v>72.643445981524479</v>
      </c>
      <c r="G41" s="3">
        <f>SAC!J46</f>
        <v>3628.7455731839959</v>
      </c>
      <c r="H41" s="3">
        <f>PRICE!J46</f>
        <v>2806.2473413901589</v>
      </c>
      <c r="I41" s="3"/>
    </row>
    <row r="42" spans="2:9">
      <c r="B42">
        <v>36</v>
      </c>
      <c r="C42" s="3">
        <f>SAC!C47</f>
        <v>21897.602596799974</v>
      </c>
      <c r="D42" s="3">
        <f>PRICE!C47</f>
        <v>2769.6874668280689</v>
      </c>
      <c r="E42" s="3">
        <f>SAC!F47</f>
        <v>437.95205193599946</v>
      </c>
      <c r="F42" s="3">
        <f>PRICE!F47</f>
        <v>36.55987456213051</v>
      </c>
      <c r="G42" s="3">
        <f>SAC!J47</f>
        <v>3566.1809943359958</v>
      </c>
      <c r="H42" s="3">
        <f>PRICE!J47</f>
        <v>2806.2473413901785</v>
      </c>
      <c r="I42" s="3"/>
    </row>
    <row r="43" spans="2:9">
      <c r="C43" s="3"/>
      <c r="D43" s="3"/>
      <c r="E43" s="3"/>
      <c r="F43" s="3"/>
      <c r="G43" s="3"/>
      <c r="H43" s="3"/>
      <c r="I43" s="3"/>
    </row>
    <row r="44" spans="2:9">
      <c r="C44" s="3"/>
      <c r="D44" s="3"/>
      <c r="E44" s="3"/>
      <c r="F44" s="3"/>
      <c r="G44" s="3"/>
      <c r="H44" s="3"/>
      <c r="I44" s="3"/>
    </row>
    <row r="45" spans="2:9">
      <c r="C45" s="3"/>
      <c r="D45" s="3"/>
      <c r="E45" s="3"/>
      <c r="F45" s="3"/>
      <c r="G45" s="3"/>
      <c r="H45" s="3"/>
      <c r="I45" s="3"/>
    </row>
    <row r="46" spans="2:9">
      <c r="C46" s="3"/>
      <c r="D46" s="3"/>
      <c r="E46" s="3"/>
      <c r="F46" s="3"/>
      <c r="G46" s="3"/>
      <c r="H46" s="3"/>
      <c r="I46" s="3"/>
    </row>
    <row r="47" spans="2:9">
      <c r="C47" s="3"/>
      <c r="D47" s="3"/>
      <c r="E47" s="3"/>
      <c r="F47" s="3"/>
      <c r="G47" s="3"/>
      <c r="H47" s="3"/>
      <c r="I47" s="3"/>
    </row>
    <row r="48" spans="2:9">
      <c r="C48" s="3"/>
      <c r="D48" s="3"/>
      <c r="E48" s="3"/>
      <c r="F48" s="3"/>
      <c r="G48" s="3"/>
      <c r="H48" s="3"/>
      <c r="I48" s="3"/>
    </row>
    <row r="49" spans="3:9">
      <c r="C49" s="3"/>
      <c r="D49" s="3"/>
      <c r="E49" s="3"/>
      <c r="F49" s="3"/>
      <c r="G49" s="3"/>
      <c r="H49" s="3"/>
      <c r="I49" s="3"/>
    </row>
    <row r="50" spans="3:9">
      <c r="C50" s="3"/>
      <c r="D50" s="3"/>
      <c r="E50" s="3"/>
      <c r="F50" s="3"/>
      <c r="G50" s="3"/>
      <c r="H50" s="3"/>
      <c r="I50" s="3"/>
    </row>
    <row r="51" spans="3:9">
      <c r="C51" s="3"/>
      <c r="D51" s="3"/>
      <c r="E51" s="3"/>
      <c r="F51" s="3"/>
      <c r="G51" s="3"/>
      <c r="H51" s="3"/>
      <c r="I51" s="3"/>
    </row>
    <row r="52" spans="3:9">
      <c r="C52" s="3"/>
      <c r="D52" s="3"/>
      <c r="E52" s="3"/>
      <c r="F52" s="3"/>
      <c r="G52" s="3"/>
      <c r="H52" s="3"/>
      <c r="I52" s="3"/>
    </row>
    <row r="53" spans="3:9">
      <c r="C53" s="3"/>
      <c r="D53" s="3"/>
      <c r="E53" s="3"/>
      <c r="F53" s="3"/>
      <c r="G53" s="3"/>
      <c r="H53" s="3"/>
      <c r="I53" s="3"/>
    </row>
    <row r="54" spans="3:9">
      <c r="C54" s="3"/>
      <c r="D54" s="3"/>
      <c r="E54" s="3"/>
      <c r="F54" s="3"/>
      <c r="G54" s="3"/>
      <c r="H54" s="3"/>
      <c r="I54" s="3"/>
    </row>
    <row r="55" spans="3:9">
      <c r="C55" s="3"/>
      <c r="D55" s="3"/>
      <c r="E55" s="3"/>
      <c r="F55" s="3"/>
      <c r="G55" s="3"/>
      <c r="H55" s="3"/>
      <c r="I55" s="3"/>
    </row>
    <row r="56" spans="3:9">
      <c r="C56" s="3"/>
      <c r="D56" s="3"/>
      <c r="E56" s="3"/>
      <c r="F56" s="3"/>
      <c r="G56" s="3"/>
      <c r="H56" s="3"/>
      <c r="I56" s="3"/>
    </row>
    <row r="57" spans="3:9">
      <c r="C57" s="3"/>
      <c r="D57" s="3"/>
      <c r="E57" s="3"/>
      <c r="F57" s="3"/>
      <c r="G57" s="3"/>
      <c r="H57" s="3"/>
      <c r="I57" s="3"/>
    </row>
    <row r="58" spans="3:9">
      <c r="C58" s="3"/>
      <c r="D58" s="3"/>
      <c r="E58" s="3"/>
      <c r="F58" s="3"/>
      <c r="G58" s="3"/>
      <c r="H58" s="3"/>
      <c r="I58" s="3"/>
    </row>
    <row r="59" spans="3:9">
      <c r="C59" s="3"/>
      <c r="D59" s="3"/>
      <c r="E59" s="3"/>
      <c r="F59" s="3"/>
      <c r="G59" s="3"/>
      <c r="H59" s="3"/>
      <c r="I59" s="3"/>
    </row>
    <row r="60" spans="3:9">
      <c r="C60" s="3"/>
      <c r="D60" s="3"/>
      <c r="E60" s="3"/>
      <c r="F60" s="3"/>
      <c r="G60" s="3"/>
      <c r="H60" s="3"/>
      <c r="I60" s="3"/>
    </row>
    <row r="61" spans="3:9">
      <c r="C61" s="3"/>
      <c r="D61" s="3"/>
      <c r="E61" s="3"/>
      <c r="F61" s="3"/>
      <c r="G61" s="3"/>
      <c r="H61" s="3"/>
      <c r="I61" s="3"/>
    </row>
    <row r="62" spans="3:9">
      <c r="C62" s="3"/>
      <c r="D62" s="3"/>
      <c r="E62" s="3"/>
      <c r="F62" s="3"/>
      <c r="G62" s="3"/>
      <c r="H62" s="3"/>
      <c r="I62" s="3"/>
    </row>
    <row r="63" spans="3:9">
      <c r="C63" s="3"/>
      <c r="D63" s="3"/>
      <c r="E63" s="3"/>
      <c r="F63" s="3"/>
      <c r="G63" s="3"/>
      <c r="H63" s="3"/>
      <c r="I63" s="3"/>
    </row>
    <row r="64" spans="3:9">
      <c r="C64" s="3"/>
      <c r="D64" s="3"/>
      <c r="E64" s="3"/>
      <c r="F64" s="3"/>
      <c r="G64" s="3"/>
      <c r="H64" s="3"/>
      <c r="I64" s="3"/>
    </row>
    <row r="65" spans="3:9">
      <c r="C65" s="3"/>
      <c r="D65" s="3"/>
      <c r="E65" s="3"/>
      <c r="F65" s="3"/>
      <c r="G65" s="3"/>
      <c r="H65" s="3"/>
      <c r="I65" s="3"/>
    </row>
    <row r="66" spans="3:9">
      <c r="C66" s="3"/>
      <c r="D66" s="3"/>
      <c r="E66" s="3"/>
      <c r="F66" s="3"/>
      <c r="G66" s="3"/>
      <c r="H66" s="3"/>
      <c r="I66" s="3"/>
    </row>
    <row r="67" spans="3:9">
      <c r="C67" s="3"/>
      <c r="D67" s="3"/>
      <c r="E67" s="3"/>
      <c r="F67" s="3"/>
      <c r="G67" s="3"/>
      <c r="H67" s="3"/>
      <c r="I67" s="3"/>
    </row>
    <row r="68" spans="3:9">
      <c r="C68" s="3"/>
      <c r="D68" s="3"/>
      <c r="E68" s="3"/>
      <c r="F68" s="3"/>
      <c r="G68" s="3"/>
      <c r="H68" s="3"/>
      <c r="I68" s="3"/>
    </row>
    <row r="69" spans="3:9">
      <c r="C69" s="3"/>
      <c r="D69" s="3"/>
      <c r="E69" s="3"/>
      <c r="F69" s="3"/>
      <c r="G69" s="3"/>
      <c r="H69" s="3"/>
      <c r="I69" s="3"/>
    </row>
    <row r="70" spans="3:9">
      <c r="C70" s="3"/>
      <c r="D70" s="3"/>
      <c r="E70" s="3"/>
      <c r="F70" s="3"/>
      <c r="G70" s="3"/>
      <c r="H70" s="3"/>
      <c r="I70" s="3"/>
    </row>
    <row r="71" spans="3:9">
      <c r="C71" s="3"/>
      <c r="D71" s="3"/>
      <c r="E71" s="3"/>
      <c r="F71" s="3"/>
      <c r="G71" s="3"/>
      <c r="H71" s="3"/>
      <c r="I71" s="3"/>
    </row>
    <row r="72" spans="3:9">
      <c r="C72" s="3"/>
      <c r="D72" s="3"/>
      <c r="E72" s="3"/>
      <c r="F72" s="3"/>
      <c r="G72" s="3"/>
      <c r="H72" s="3"/>
      <c r="I72" s="3"/>
    </row>
    <row r="73" spans="3:9">
      <c r="C73" s="3"/>
      <c r="D73" s="3"/>
      <c r="E73" s="3"/>
      <c r="F73" s="3"/>
      <c r="G73" s="3"/>
      <c r="H73" s="3"/>
      <c r="I73" s="3"/>
    </row>
    <row r="74" spans="3:9">
      <c r="C74" s="3"/>
      <c r="D74" s="3"/>
      <c r="E74" s="3"/>
      <c r="F74" s="3"/>
      <c r="G74" s="3"/>
      <c r="H74" s="3"/>
      <c r="I74" s="3"/>
    </row>
    <row r="75" spans="3:9">
      <c r="C75" s="3"/>
      <c r="D75" s="3"/>
      <c r="E75" s="3"/>
      <c r="F75" s="3"/>
      <c r="G75" s="3"/>
      <c r="H75" s="3"/>
      <c r="I75" s="3"/>
    </row>
    <row r="76" spans="3:9">
      <c r="C76" s="3"/>
      <c r="D76" s="3"/>
      <c r="E76" s="3"/>
      <c r="F76" s="3"/>
      <c r="G76" s="3"/>
      <c r="H76" s="3"/>
      <c r="I76" s="3"/>
    </row>
    <row r="77" spans="3:9">
      <c r="C77" s="3"/>
      <c r="D77" s="3"/>
      <c r="E77" s="3"/>
      <c r="F77" s="3"/>
      <c r="G77" s="3"/>
      <c r="H77" s="3"/>
      <c r="I77" s="3"/>
    </row>
    <row r="78" spans="3:9">
      <c r="C78" s="3"/>
      <c r="D78" s="3"/>
      <c r="E78" s="3"/>
      <c r="F78" s="3"/>
      <c r="G78" s="3"/>
      <c r="H78" s="3"/>
      <c r="I78" s="3"/>
    </row>
    <row r="79" spans="3:9">
      <c r="C79" s="3"/>
      <c r="D79" s="3"/>
      <c r="E79" s="3"/>
      <c r="F79" s="3"/>
      <c r="G79" s="3"/>
      <c r="H79" s="3"/>
      <c r="I79" s="3"/>
    </row>
    <row r="80" spans="3:9">
      <c r="C80" s="3"/>
      <c r="D80" s="3"/>
      <c r="E80" s="3"/>
      <c r="F80" s="3"/>
      <c r="G80" s="3"/>
      <c r="H80" s="3"/>
      <c r="I80" s="3"/>
    </row>
    <row r="81" spans="3:9">
      <c r="C81" s="3"/>
      <c r="D81" s="3"/>
      <c r="E81" s="3"/>
      <c r="F81" s="3"/>
      <c r="G81" s="3"/>
      <c r="H81" s="3"/>
      <c r="I81" s="3"/>
    </row>
    <row r="82" spans="3:9">
      <c r="C82" s="3"/>
      <c r="D82" s="3"/>
      <c r="E82" s="3"/>
      <c r="F82" s="3"/>
      <c r="G82" s="3"/>
      <c r="H82" s="3"/>
      <c r="I82" s="3"/>
    </row>
    <row r="83" spans="3:9">
      <c r="C83" s="3"/>
      <c r="D83" s="3"/>
      <c r="E83" s="3"/>
      <c r="F83" s="3"/>
      <c r="G83" s="3"/>
      <c r="H83" s="3"/>
      <c r="I83" s="3"/>
    </row>
    <row r="84" spans="3:9">
      <c r="C84" s="3"/>
      <c r="D84" s="3"/>
      <c r="E84" s="3"/>
      <c r="F84" s="3"/>
      <c r="G84" s="3"/>
      <c r="H84" s="3"/>
      <c r="I84" s="3"/>
    </row>
    <row r="85" spans="3:9">
      <c r="C85" s="3"/>
      <c r="D85" s="3"/>
      <c r="E85" s="3"/>
      <c r="F85" s="3"/>
      <c r="G85" s="3"/>
      <c r="H85" s="3"/>
      <c r="I85" s="3"/>
    </row>
    <row r="86" spans="3:9">
      <c r="C86" s="3"/>
      <c r="D86" s="3"/>
      <c r="E86" s="3"/>
      <c r="F86" s="3"/>
      <c r="G86" s="3"/>
      <c r="H86" s="3"/>
      <c r="I86" s="3"/>
    </row>
    <row r="87" spans="3:9">
      <c r="C87" s="3"/>
      <c r="D87" s="3"/>
      <c r="E87" s="3"/>
      <c r="F87" s="3"/>
      <c r="G87" s="3"/>
      <c r="H87" s="3"/>
      <c r="I87" s="3"/>
    </row>
    <row r="88" spans="3:9">
      <c r="C88" s="3"/>
      <c r="D88" s="3"/>
      <c r="E88" s="3"/>
      <c r="F88" s="3"/>
      <c r="G88" s="3"/>
      <c r="H88" s="3"/>
      <c r="I88" s="3"/>
    </row>
    <row r="89" spans="3:9">
      <c r="C89" s="3"/>
      <c r="D89" s="3"/>
      <c r="E89" s="3"/>
      <c r="F89" s="3"/>
      <c r="G89" s="3"/>
      <c r="H89" s="3"/>
      <c r="I89" s="3"/>
    </row>
    <row r="90" spans="3:9">
      <c r="C90" s="3"/>
      <c r="D90" s="3"/>
      <c r="E90" s="3"/>
      <c r="F90" s="3"/>
      <c r="G90" s="3"/>
      <c r="H90" s="3"/>
      <c r="I90" s="3"/>
    </row>
    <row r="91" spans="3:9">
      <c r="C91" s="3"/>
      <c r="D91" s="3"/>
      <c r="E91" s="3"/>
      <c r="F91" s="3"/>
      <c r="G91" s="3"/>
      <c r="H91" s="3"/>
      <c r="I91" s="3"/>
    </row>
    <row r="92" spans="3:9">
      <c r="C92" s="3"/>
      <c r="D92" s="3"/>
      <c r="E92" s="3"/>
      <c r="F92" s="3"/>
      <c r="G92" s="3"/>
      <c r="H92" s="3"/>
      <c r="I92" s="3"/>
    </row>
    <row r="93" spans="3:9">
      <c r="C93" s="3"/>
      <c r="D93" s="3"/>
      <c r="E93" s="3"/>
      <c r="F93" s="3"/>
      <c r="G93" s="3"/>
      <c r="H93" s="3"/>
      <c r="I93" s="3"/>
    </row>
    <row r="94" spans="3:9">
      <c r="C94" s="3"/>
      <c r="D94" s="3"/>
      <c r="E94" s="3"/>
      <c r="F94" s="3"/>
      <c r="G94" s="3"/>
      <c r="H94" s="3"/>
      <c r="I94" s="3"/>
    </row>
    <row r="95" spans="3:9">
      <c r="C95" s="3"/>
      <c r="D95" s="3"/>
      <c r="E95" s="3"/>
      <c r="F95" s="3"/>
      <c r="G95" s="3"/>
      <c r="H95" s="3"/>
      <c r="I95" s="3"/>
    </row>
    <row r="96" spans="3:9">
      <c r="C96" s="3"/>
      <c r="D96" s="3"/>
      <c r="E96" s="3"/>
      <c r="F96" s="3"/>
      <c r="G96" s="3"/>
      <c r="H96" s="3"/>
      <c r="I96" s="3"/>
    </row>
    <row r="97" spans="3:9">
      <c r="C97" s="3"/>
      <c r="D97" s="3"/>
      <c r="E97" s="3"/>
      <c r="F97" s="3"/>
      <c r="G97" s="3"/>
      <c r="H97" s="3"/>
      <c r="I97" s="3"/>
    </row>
    <row r="98" spans="3:9">
      <c r="C98" s="3"/>
      <c r="D98" s="3"/>
      <c r="E98" s="3"/>
      <c r="F98" s="3"/>
      <c r="G98" s="3"/>
      <c r="H98" s="3"/>
      <c r="I98" s="3"/>
    </row>
    <row r="99" spans="3:9">
      <c r="C99" s="3"/>
      <c r="D99" s="3"/>
      <c r="E99" s="3"/>
      <c r="F99" s="3"/>
      <c r="G99" s="3"/>
      <c r="H99" s="3"/>
      <c r="I99" s="3"/>
    </row>
    <row r="100" spans="3:9">
      <c r="C100" s="3"/>
      <c r="D100" s="3"/>
      <c r="E100" s="3"/>
      <c r="F100" s="3"/>
      <c r="G100" s="3"/>
      <c r="H100" s="3"/>
      <c r="I100" s="3"/>
    </row>
    <row r="101" spans="3:9">
      <c r="C101" s="3"/>
      <c r="D101" s="3"/>
      <c r="E101" s="3"/>
      <c r="F101" s="3"/>
      <c r="G101" s="3"/>
      <c r="H101" s="3"/>
      <c r="I101" s="3"/>
    </row>
    <row r="102" spans="3:9">
      <c r="C102" s="3"/>
      <c r="D102" s="3"/>
      <c r="E102" s="3"/>
      <c r="F102" s="3"/>
      <c r="G102" s="3"/>
      <c r="H102" s="3"/>
      <c r="I102" s="3"/>
    </row>
    <row r="103" spans="3:9">
      <c r="C103" s="3"/>
      <c r="D103" s="3"/>
      <c r="E103" s="3"/>
      <c r="F103" s="3"/>
      <c r="G103" s="3"/>
      <c r="H103" s="3"/>
      <c r="I103" s="3"/>
    </row>
    <row r="104" spans="3:9">
      <c r="C104" s="3"/>
      <c r="D104" s="3"/>
      <c r="E104" s="3"/>
      <c r="F104" s="3"/>
      <c r="G104" s="3"/>
      <c r="H104" s="3"/>
      <c r="I104" s="3"/>
    </row>
    <row r="105" spans="3:9">
      <c r="C105" s="3"/>
      <c r="D105" s="3"/>
      <c r="E105" s="3"/>
      <c r="F105" s="3"/>
      <c r="G105" s="3"/>
      <c r="H105" s="3"/>
      <c r="I105" s="3"/>
    </row>
    <row r="106" spans="3:9">
      <c r="C106" s="3"/>
      <c r="D106" s="3"/>
      <c r="E106" s="3"/>
      <c r="F106" s="3"/>
      <c r="G106" s="3"/>
      <c r="H106" s="3"/>
      <c r="I106" s="3"/>
    </row>
    <row r="107" spans="3:9">
      <c r="C107" s="3"/>
      <c r="D107" s="3"/>
      <c r="E107" s="3"/>
      <c r="F107" s="3"/>
      <c r="G107" s="3"/>
      <c r="H107" s="3"/>
      <c r="I107" s="3"/>
    </row>
    <row r="108" spans="3:9">
      <c r="C108" s="3"/>
      <c r="D108" s="3"/>
      <c r="E108" s="3"/>
      <c r="F108" s="3"/>
      <c r="G108" s="3"/>
      <c r="H108" s="3"/>
      <c r="I108" s="3"/>
    </row>
    <row r="109" spans="3:9">
      <c r="C109" s="3"/>
      <c r="D109" s="3"/>
      <c r="E109" s="3"/>
      <c r="F109" s="3"/>
      <c r="G109" s="3"/>
      <c r="H109" s="3"/>
      <c r="I109" s="3"/>
    </row>
    <row r="110" spans="3:9">
      <c r="C110" s="3"/>
      <c r="D110" s="3"/>
      <c r="E110" s="3"/>
      <c r="F110" s="3"/>
      <c r="G110" s="3"/>
      <c r="H110" s="3"/>
      <c r="I110" s="3"/>
    </row>
    <row r="111" spans="3:9">
      <c r="C111" s="3"/>
      <c r="D111" s="3"/>
      <c r="E111" s="3"/>
      <c r="F111" s="3"/>
      <c r="G111" s="3"/>
      <c r="H111" s="3"/>
      <c r="I111" s="3"/>
    </row>
    <row r="112" spans="3:9">
      <c r="C112" s="3"/>
      <c r="D112" s="3"/>
      <c r="E112" s="3"/>
      <c r="F112" s="3"/>
      <c r="G112" s="3"/>
      <c r="H112" s="3"/>
      <c r="I112" s="3"/>
    </row>
    <row r="113" spans="3:9">
      <c r="C113" s="3"/>
      <c r="D113" s="3"/>
      <c r="E113" s="3"/>
      <c r="F113" s="3"/>
      <c r="G113" s="3"/>
      <c r="H113" s="3"/>
      <c r="I113" s="3"/>
    </row>
    <row r="114" spans="3:9">
      <c r="C114" s="3"/>
      <c r="D114" s="3"/>
      <c r="E114" s="3"/>
      <c r="F114" s="3"/>
      <c r="G114" s="3"/>
      <c r="H114" s="3"/>
      <c r="I114" s="3"/>
    </row>
    <row r="115" spans="3:9">
      <c r="C115" s="3"/>
      <c r="D115" s="3"/>
      <c r="E115" s="3"/>
      <c r="F115" s="3"/>
      <c r="G115" s="3"/>
      <c r="H115" s="3"/>
      <c r="I115" s="3"/>
    </row>
    <row r="116" spans="3:9">
      <c r="C116" s="3"/>
      <c r="D116" s="3"/>
      <c r="E116" s="3"/>
      <c r="F116" s="3"/>
      <c r="G116" s="3"/>
      <c r="H116" s="3"/>
      <c r="I116" s="3"/>
    </row>
    <row r="117" spans="3:9">
      <c r="C117" s="3"/>
      <c r="D117" s="3"/>
      <c r="E117" s="3"/>
      <c r="F117" s="3"/>
      <c r="G117" s="3"/>
      <c r="H117" s="3"/>
      <c r="I117" s="3"/>
    </row>
    <row r="118" spans="3:9">
      <c r="C118" s="3"/>
      <c r="D118" s="3"/>
      <c r="E118" s="3"/>
      <c r="F118" s="3"/>
      <c r="G118" s="3"/>
      <c r="H118" s="3"/>
      <c r="I118" s="3"/>
    </row>
    <row r="119" spans="3:9">
      <c r="C119" s="3"/>
      <c r="D119" s="3"/>
      <c r="E119" s="3"/>
      <c r="F119" s="3"/>
      <c r="G119" s="3"/>
      <c r="H119" s="3"/>
      <c r="I119" s="3"/>
    </row>
    <row r="120" spans="3:9">
      <c r="C120" s="3"/>
      <c r="D120" s="3"/>
      <c r="E120" s="3"/>
      <c r="F120" s="3"/>
      <c r="G120" s="3"/>
      <c r="H120" s="3"/>
      <c r="I120" s="3"/>
    </row>
    <row r="121" spans="3:9">
      <c r="C121" s="3"/>
      <c r="D121" s="3"/>
      <c r="E121" s="3"/>
      <c r="F121" s="3"/>
      <c r="G121" s="3"/>
      <c r="H121" s="3"/>
      <c r="I121" s="3"/>
    </row>
    <row r="122" spans="3:9">
      <c r="C122" s="3"/>
      <c r="D122" s="3"/>
      <c r="E122" s="3"/>
      <c r="F122" s="3"/>
      <c r="G122" s="3"/>
      <c r="H122" s="3"/>
      <c r="I122" s="3"/>
    </row>
    <row r="123" spans="3:9">
      <c r="C123" s="3"/>
      <c r="D123" s="3"/>
      <c r="E123" s="3"/>
      <c r="F123" s="3"/>
      <c r="G123" s="3"/>
      <c r="H123" s="3"/>
      <c r="I123" s="3"/>
    </row>
    <row r="124" spans="3:9">
      <c r="C124" s="3"/>
      <c r="D124" s="3"/>
      <c r="E124" s="3"/>
      <c r="F124" s="3"/>
      <c r="G124" s="3"/>
      <c r="H124" s="3"/>
      <c r="I124" s="3"/>
    </row>
    <row r="125" spans="3:9">
      <c r="C125" s="3"/>
      <c r="D125" s="3"/>
      <c r="E125" s="3"/>
      <c r="F125" s="3"/>
      <c r="G125" s="3"/>
      <c r="H125" s="3"/>
      <c r="I125" s="3"/>
    </row>
    <row r="126" spans="3:9">
      <c r="C126" s="3"/>
      <c r="D126" s="3"/>
      <c r="E126" s="3"/>
      <c r="F126" s="3"/>
      <c r="G126" s="3"/>
      <c r="H126" s="3"/>
      <c r="I126" s="3"/>
    </row>
    <row r="127" spans="3:9">
      <c r="C127" s="3"/>
      <c r="D127" s="3"/>
      <c r="E127" s="3"/>
      <c r="F127" s="3"/>
      <c r="G127" s="3"/>
      <c r="H127" s="3"/>
      <c r="I127" s="3"/>
    </row>
    <row r="128" spans="3:9">
      <c r="C128" s="3"/>
      <c r="D128" s="3"/>
      <c r="E128" s="3"/>
      <c r="F128" s="3"/>
      <c r="G128" s="3"/>
      <c r="H128" s="3"/>
      <c r="I128" s="3"/>
    </row>
    <row r="129" spans="3:9">
      <c r="C129" s="3"/>
      <c r="D129" s="3"/>
      <c r="E129" s="3"/>
      <c r="F129" s="3"/>
      <c r="G129" s="3"/>
      <c r="H129" s="3"/>
      <c r="I129" s="3"/>
    </row>
    <row r="130" spans="3:9">
      <c r="C130" s="3"/>
      <c r="D130" s="3"/>
      <c r="E130" s="3"/>
      <c r="F130" s="3"/>
      <c r="G130" s="3"/>
      <c r="H130" s="3"/>
      <c r="I130" s="3"/>
    </row>
    <row r="131" spans="3:9">
      <c r="C131" s="3"/>
      <c r="D131" s="3"/>
      <c r="E131" s="3"/>
      <c r="F131" s="3"/>
      <c r="G131" s="3"/>
      <c r="H131" s="3"/>
      <c r="I131" s="3"/>
    </row>
    <row r="132" spans="3:9">
      <c r="C132" s="3"/>
      <c r="D132" s="3"/>
      <c r="E132" s="3"/>
      <c r="F132" s="3"/>
      <c r="G132" s="3"/>
      <c r="H132" s="3"/>
      <c r="I132" s="3"/>
    </row>
    <row r="133" spans="3:9">
      <c r="C133" s="3"/>
      <c r="D133" s="3"/>
      <c r="E133" s="3"/>
      <c r="F133" s="3"/>
      <c r="G133" s="3"/>
      <c r="H133" s="3"/>
      <c r="I133" s="3"/>
    </row>
    <row r="134" spans="3:9">
      <c r="C134" s="3"/>
      <c r="D134" s="3"/>
      <c r="E134" s="3"/>
      <c r="F134" s="3"/>
      <c r="G134" s="3"/>
      <c r="H134" s="3"/>
      <c r="I134" s="3"/>
    </row>
    <row r="135" spans="3:9">
      <c r="C135" s="3"/>
      <c r="D135" s="3"/>
      <c r="E135" s="3"/>
      <c r="F135" s="3"/>
      <c r="G135" s="3"/>
      <c r="H135" s="3"/>
      <c r="I135" s="3"/>
    </row>
    <row r="136" spans="3:9">
      <c r="C136" s="3"/>
      <c r="D136" s="3"/>
      <c r="E136" s="3"/>
      <c r="F136" s="3"/>
      <c r="G136" s="3"/>
      <c r="H136" s="3"/>
      <c r="I136" s="3"/>
    </row>
    <row r="137" spans="3:9">
      <c r="C137" s="3"/>
      <c r="D137" s="3"/>
      <c r="E137" s="3"/>
      <c r="F137" s="3"/>
      <c r="G137" s="3"/>
      <c r="H137" s="3"/>
      <c r="I137" s="3"/>
    </row>
    <row r="138" spans="3:9">
      <c r="C138" s="3"/>
      <c r="D138" s="3"/>
      <c r="E138" s="3"/>
      <c r="F138" s="3"/>
      <c r="G138" s="3"/>
      <c r="H138" s="3"/>
      <c r="I138" s="3"/>
    </row>
    <row r="139" spans="3:9">
      <c r="C139" s="3"/>
      <c r="D139" s="3"/>
      <c r="E139" s="3"/>
      <c r="F139" s="3"/>
      <c r="G139" s="3"/>
      <c r="H139" s="3"/>
      <c r="I139" s="3"/>
    </row>
    <row r="140" spans="3:9">
      <c r="C140" s="3"/>
      <c r="D140" s="3"/>
      <c r="E140" s="3"/>
      <c r="F140" s="3"/>
      <c r="G140" s="3"/>
      <c r="H140" s="3"/>
      <c r="I140" s="3"/>
    </row>
    <row r="141" spans="3:9">
      <c r="C141" s="3"/>
      <c r="D141" s="3"/>
      <c r="E141" s="3"/>
      <c r="F141" s="3"/>
      <c r="G141" s="3"/>
      <c r="H141" s="3"/>
      <c r="I141" s="3"/>
    </row>
    <row r="142" spans="3:9">
      <c r="C142" s="3"/>
      <c r="D142" s="3"/>
      <c r="E142" s="3"/>
      <c r="F142" s="3"/>
      <c r="G142" s="3"/>
      <c r="H142" s="3"/>
      <c r="I142" s="3"/>
    </row>
    <row r="143" spans="3:9">
      <c r="C143" s="3"/>
      <c r="D143" s="3"/>
      <c r="E143" s="3"/>
      <c r="F143" s="3"/>
      <c r="G143" s="3"/>
      <c r="H143" s="3"/>
      <c r="I143" s="3"/>
    </row>
    <row r="144" spans="3:9">
      <c r="C144" s="3"/>
      <c r="D144" s="3"/>
      <c r="E144" s="3"/>
      <c r="F144" s="3"/>
      <c r="G144" s="3"/>
      <c r="H144" s="3"/>
      <c r="I144" s="3"/>
    </row>
    <row r="145" spans="3:9">
      <c r="C145" s="3"/>
      <c r="D145" s="3"/>
      <c r="E145" s="3"/>
      <c r="F145" s="3"/>
      <c r="G145" s="3"/>
      <c r="H145" s="3"/>
      <c r="I145" s="3"/>
    </row>
    <row r="146" spans="3:9">
      <c r="C146" s="3"/>
      <c r="D146" s="3"/>
      <c r="E146" s="3"/>
      <c r="F146" s="3"/>
      <c r="G146" s="3"/>
      <c r="H146" s="3"/>
      <c r="I146" s="3"/>
    </row>
    <row r="147" spans="3:9">
      <c r="C147" s="3"/>
      <c r="D147" s="3"/>
      <c r="E147" s="3"/>
      <c r="F147" s="3"/>
      <c r="G147" s="3"/>
      <c r="H147" s="3"/>
      <c r="I147" s="3"/>
    </row>
    <row r="148" spans="3:9">
      <c r="C148" s="3"/>
      <c r="D148" s="3"/>
      <c r="E148" s="3"/>
      <c r="F148" s="3"/>
      <c r="G148" s="3"/>
      <c r="H148" s="3"/>
      <c r="I148" s="3"/>
    </row>
    <row r="149" spans="3:9">
      <c r="C149" s="3"/>
      <c r="D149" s="3"/>
      <c r="E149" s="3"/>
      <c r="F149" s="3"/>
      <c r="G149" s="3"/>
      <c r="H149" s="3"/>
      <c r="I149" s="3"/>
    </row>
    <row r="150" spans="3:9">
      <c r="C150" s="3"/>
      <c r="D150" s="3"/>
      <c r="E150" s="3"/>
      <c r="F150" s="3"/>
      <c r="G150" s="3"/>
      <c r="H150" s="3"/>
      <c r="I150" s="3"/>
    </row>
    <row r="151" spans="3:9">
      <c r="C151" s="3"/>
      <c r="D151" s="3"/>
      <c r="E151" s="3"/>
      <c r="F151" s="3"/>
      <c r="G151" s="3"/>
      <c r="H151" s="3"/>
      <c r="I151" s="3"/>
    </row>
    <row r="152" spans="3:9">
      <c r="C152" s="3"/>
      <c r="D152" s="3"/>
      <c r="E152" s="3"/>
      <c r="F152" s="3"/>
      <c r="G152" s="3"/>
      <c r="H152" s="3"/>
      <c r="I152" s="3"/>
    </row>
    <row r="153" spans="3:9">
      <c r="C153" s="3"/>
      <c r="D153" s="3"/>
      <c r="E153" s="3"/>
      <c r="F153" s="3"/>
      <c r="G153" s="3"/>
      <c r="H153" s="3"/>
      <c r="I153" s="3"/>
    </row>
    <row r="154" spans="3:9">
      <c r="C154" s="3"/>
      <c r="D154" s="3"/>
      <c r="E154" s="3"/>
      <c r="F154" s="3"/>
      <c r="G154" s="3"/>
      <c r="H154" s="3"/>
      <c r="I154" s="3"/>
    </row>
    <row r="155" spans="3:9">
      <c r="C155" s="3"/>
      <c r="D155" s="3"/>
      <c r="E155" s="3"/>
      <c r="F155" s="3"/>
      <c r="G155" s="3"/>
      <c r="H155" s="3"/>
      <c r="I155" s="3"/>
    </row>
    <row r="156" spans="3:9">
      <c r="C156" s="3"/>
      <c r="D156" s="3"/>
      <c r="E156" s="3"/>
      <c r="F156" s="3"/>
      <c r="G156" s="3"/>
      <c r="H156" s="3"/>
      <c r="I156" s="3"/>
    </row>
    <row r="157" spans="3:9">
      <c r="C157" s="3"/>
      <c r="D157" s="3"/>
      <c r="E157" s="3"/>
      <c r="F157" s="3"/>
      <c r="G157" s="3"/>
      <c r="H157" s="3"/>
      <c r="I157" s="3"/>
    </row>
    <row r="158" spans="3:9">
      <c r="C158" s="3"/>
      <c r="D158" s="3"/>
      <c r="E158" s="3"/>
      <c r="F158" s="3"/>
      <c r="G158" s="3"/>
      <c r="H158" s="3"/>
      <c r="I158" s="3"/>
    </row>
    <row r="159" spans="3:9">
      <c r="C159" s="3"/>
      <c r="D159" s="3"/>
      <c r="E159" s="3"/>
      <c r="F159" s="3"/>
      <c r="G159" s="3"/>
      <c r="H159" s="3"/>
      <c r="I159" s="3"/>
    </row>
    <row r="160" spans="3:9">
      <c r="C160" s="3"/>
      <c r="D160" s="3"/>
      <c r="E160" s="3"/>
      <c r="F160" s="3"/>
      <c r="G160" s="3"/>
      <c r="H160" s="3"/>
      <c r="I160" s="3"/>
    </row>
    <row r="161" spans="3:9">
      <c r="C161" s="3"/>
      <c r="D161" s="3"/>
      <c r="E161" s="3"/>
      <c r="F161" s="3"/>
      <c r="G161" s="3"/>
      <c r="H161" s="3"/>
      <c r="I161" s="3"/>
    </row>
    <row r="162" spans="3:9">
      <c r="C162" s="3"/>
      <c r="D162" s="3"/>
      <c r="E162" s="3"/>
      <c r="F162" s="3"/>
      <c r="G162" s="3"/>
      <c r="H162" s="3"/>
      <c r="I162" s="3"/>
    </row>
    <row r="163" spans="3:9">
      <c r="C163" s="3"/>
      <c r="D163" s="3"/>
      <c r="E163" s="3"/>
      <c r="F163" s="3"/>
      <c r="G163" s="3"/>
      <c r="H163" s="3"/>
      <c r="I163" s="3"/>
    </row>
    <row r="164" spans="3:9">
      <c r="C164" s="3"/>
      <c r="D164" s="3"/>
      <c r="E164" s="3"/>
      <c r="F164" s="3"/>
      <c r="G164" s="3"/>
      <c r="H164" s="3"/>
      <c r="I164" s="3"/>
    </row>
    <row r="165" spans="3:9">
      <c r="C165" s="3"/>
      <c r="D165" s="3"/>
      <c r="E165" s="3"/>
      <c r="F165" s="3"/>
      <c r="G165" s="3"/>
      <c r="H165" s="3"/>
      <c r="I165" s="3"/>
    </row>
    <row r="166" spans="3:9">
      <c r="C166" s="3"/>
      <c r="D166" s="3"/>
      <c r="E166" s="3"/>
      <c r="F166" s="3"/>
      <c r="G166" s="3"/>
      <c r="H166" s="3"/>
      <c r="I166" s="3"/>
    </row>
    <row r="167" spans="3:9">
      <c r="C167" s="3"/>
      <c r="D167" s="3"/>
      <c r="E167" s="3"/>
      <c r="F167" s="3"/>
      <c r="G167" s="3"/>
      <c r="H167" s="3"/>
      <c r="I167" s="3"/>
    </row>
    <row r="168" spans="3:9">
      <c r="C168" s="3"/>
      <c r="D168" s="3"/>
      <c r="E168" s="3"/>
      <c r="F168" s="3"/>
      <c r="G168" s="3"/>
      <c r="H168" s="3"/>
      <c r="I168" s="3"/>
    </row>
    <row r="169" spans="3:9">
      <c r="C169" s="3"/>
      <c r="D169" s="3"/>
      <c r="E169" s="3"/>
      <c r="F169" s="3"/>
      <c r="G169" s="3"/>
      <c r="H169" s="3"/>
      <c r="I169" s="3"/>
    </row>
    <row r="170" spans="3:9">
      <c r="C170" s="3"/>
      <c r="D170" s="3"/>
      <c r="E170" s="3"/>
      <c r="F170" s="3"/>
      <c r="G170" s="3"/>
      <c r="H170" s="3"/>
      <c r="I170" s="3"/>
    </row>
    <row r="171" spans="3:9">
      <c r="C171" s="3"/>
      <c r="D171" s="3"/>
      <c r="E171" s="3"/>
      <c r="F171" s="3"/>
      <c r="G171" s="3"/>
      <c r="H171" s="3"/>
      <c r="I171" s="3"/>
    </row>
    <row r="172" spans="3:9">
      <c r="C172" s="3"/>
      <c r="D172" s="3"/>
      <c r="E172" s="3"/>
      <c r="F172" s="3"/>
      <c r="G172" s="3"/>
      <c r="H172" s="3"/>
      <c r="I172" s="3"/>
    </row>
    <row r="173" spans="3:9">
      <c r="C173" s="3"/>
      <c r="D173" s="3"/>
      <c r="E173" s="3"/>
      <c r="F173" s="3"/>
      <c r="G173" s="3"/>
      <c r="H173" s="3"/>
      <c r="I173" s="3"/>
    </row>
    <row r="174" spans="3:9">
      <c r="C174" s="3"/>
      <c r="D174" s="3"/>
      <c r="E174" s="3"/>
      <c r="F174" s="3"/>
      <c r="G174" s="3"/>
      <c r="H174" s="3"/>
      <c r="I174" s="3"/>
    </row>
    <row r="175" spans="3:9">
      <c r="C175" s="3"/>
      <c r="D175" s="3"/>
      <c r="E175" s="3"/>
      <c r="F175" s="3"/>
      <c r="G175" s="3"/>
      <c r="H175" s="3"/>
      <c r="I175" s="3"/>
    </row>
    <row r="176" spans="3:9">
      <c r="C176" s="3"/>
      <c r="D176" s="3"/>
      <c r="E176" s="3"/>
      <c r="F176" s="3"/>
      <c r="G176" s="3"/>
      <c r="H176" s="3"/>
      <c r="I176" s="3"/>
    </row>
    <row r="177" spans="3:9">
      <c r="C177" s="3"/>
      <c r="D177" s="3"/>
      <c r="E177" s="3"/>
      <c r="F177" s="3"/>
      <c r="G177" s="3"/>
      <c r="H177" s="3"/>
      <c r="I177" s="3"/>
    </row>
    <row r="178" spans="3:9">
      <c r="C178" s="3"/>
      <c r="D178" s="3"/>
      <c r="E178" s="3"/>
      <c r="F178" s="3"/>
      <c r="G178" s="3"/>
      <c r="H178" s="3"/>
      <c r="I178" s="3"/>
    </row>
    <row r="179" spans="3:9">
      <c r="C179" s="3"/>
      <c r="D179" s="3"/>
      <c r="E179" s="3"/>
      <c r="F179" s="3"/>
      <c r="G179" s="3"/>
      <c r="H179" s="3"/>
      <c r="I179" s="3"/>
    </row>
    <row r="180" spans="3:9">
      <c r="C180" s="3"/>
      <c r="D180" s="3"/>
      <c r="E180" s="3"/>
      <c r="F180" s="3"/>
      <c r="G180" s="3"/>
      <c r="H180" s="3"/>
      <c r="I180" s="3"/>
    </row>
    <row r="181" spans="3:9">
      <c r="C181" s="3"/>
      <c r="D181" s="3"/>
      <c r="E181" s="3"/>
      <c r="F181" s="3"/>
      <c r="G181" s="3"/>
      <c r="H181" s="3"/>
      <c r="I181" s="3"/>
    </row>
    <row r="182" spans="3:9">
      <c r="C182" s="3"/>
      <c r="D182" s="3"/>
      <c r="E182" s="3"/>
      <c r="F182" s="3"/>
      <c r="G182" s="3"/>
      <c r="H182" s="3"/>
      <c r="I182" s="3"/>
    </row>
    <row r="183" spans="3:9">
      <c r="C183" s="3"/>
      <c r="D183" s="3"/>
      <c r="E183" s="3"/>
      <c r="F183" s="3"/>
      <c r="G183" s="3"/>
      <c r="H183" s="3"/>
      <c r="I183" s="3"/>
    </row>
    <row r="184" spans="3:9">
      <c r="C184" s="3"/>
      <c r="D184" s="3"/>
      <c r="E184" s="3"/>
      <c r="F184" s="3"/>
      <c r="G184" s="3"/>
      <c r="H184" s="3"/>
      <c r="I184" s="3"/>
    </row>
    <row r="185" spans="3:9">
      <c r="C185" s="3"/>
      <c r="D185" s="3"/>
      <c r="E185" s="3"/>
      <c r="F185" s="3"/>
      <c r="G185" s="3"/>
      <c r="H185" s="3"/>
      <c r="I185" s="3"/>
    </row>
    <row r="186" spans="3:9">
      <c r="C186" s="3"/>
      <c r="D186" s="3"/>
      <c r="E186" s="3"/>
      <c r="F186" s="3"/>
      <c r="G186" s="3"/>
      <c r="H186" s="3"/>
      <c r="I186" s="3"/>
    </row>
    <row r="187" spans="3:9">
      <c r="C187" s="3"/>
      <c r="D187" s="3"/>
      <c r="E187" s="3"/>
      <c r="F187" s="3"/>
      <c r="G187" s="3"/>
      <c r="H187" s="3"/>
      <c r="I187" s="3"/>
    </row>
    <row r="188" spans="3:9">
      <c r="C188" s="3"/>
      <c r="D188" s="3"/>
      <c r="E188" s="3"/>
      <c r="F188" s="3"/>
      <c r="G188" s="3"/>
      <c r="H188" s="3"/>
      <c r="I188" s="3"/>
    </row>
    <row r="189" spans="3:9">
      <c r="C189" s="3"/>
      <c r="D189" s="3"/>
      <c r="E189" s="3"/>
      <c r="F189" s="3"/>
      <c r="G189" s="3"/>
      <c r="H189" s="3"/>
      <c r="I189" s="3"/>
    </row>
    <row r="190" spans="3:9">
      <c r="C190" s="3"/>
      <c r="D190" s="3"/>
      <c r="E190" s="3"/>
      <c r="F190" s="3"/>
      <c r="G190" s="3"/>
      <c r="H190" s="3"/>
      <c r="I190" s="3"/>
    </row>
    <row r="191" spans="3:9">
      <c r="C191" s="3"/>
      <c r="D191" s="3"/>
      <c r="E191" s="3"/>
      <c r="F191" s="3"/>
      <c r="G191" s="3"/>
      <c r="H191" s="3"/>
      <c r="I191" s="3"/>
    </row>
    <row r="192" spans="3:9">
      <c r="C192" s="3"/>
      <c r="D192" s="3"/>
      <c r="E192" s="3"/>
      <c r="F192" s="3"/>
      <c r="G192" s="3"/>
      <c r="H192" s="3"/>
      <c r="I192" s="3"/>
    </row>
    <row r="193" spans="3:9">
      <c r="C193" s="3"/>
      <c r="D193" s="3"/>
      <c r="E193" s="3"/>
      <c r="F193" s="3"/>
      <c r="G193" s="3"/>
      <c r="H193" s="3"/>
      <c r="I193" s="3"/>
    </row>
    <row r="194" spans="3:9">
      <c r="C194" s="3"/>
      <c r="D194" s="3"/>
      <c r="E194" s="3"/>
      <c r="F194" s="3"/>
      <c r="G194" s="3"/>
      <c r="H194" s="3"/>
      <c r="I194" s="3"/>
    </row>
    <row r="195" spans="3:9">
      <c r="C195" s="3"/>
      <c r="D195" s="3"/>
      <c r="E195" s="3"/>
      <c r="F195" s="3"/>
      <c r="G195" s="3"/>
      <c r="H195" s="3"/>
      <c r="I195" s="3"/>
    </row>
    <row r="196" spans="3:9">
      <c r="C196" s="3"/>
      <c r="D196" s="3"/>
      <c r="E196" s="3"/>
      <c r="F196" s="3"/>
      <c r="G196" s="3"/>
      <c r="H196" s="3"/>
      <c r="I196" s="3"/>
    </row>
    <row r="197" spans="3:9">
      <c r="C197" s="3"/>
      <c r="D197" s="3"/>
      <c r="E197" s="3"/>
      <c r="F197" s="3"/>
      <c r="G197" s="3"/>
      <c r="H197" s="3"/>
      <c r="I197" s="3"/>
    </row>
    <row r="198" spans="3:9">
      <c r="C198" s="3"/>
      <c r="D198" s="3"/>
      <c r="E198" s="3"/>
      <c r="F198" s="3"/>
      <c r="G198" s="3"/>
      <c r="H198" s="3"/>
      <c r="I198" s="3"/>
    </row>
    <row r="199" spans="3:9">
      <c r="C199" s="3"/>
      <c r="D199" s="3"/>
      <c r="E199" s="3"/>
      <c r="F199" s="3"/>
      <c r="G199" s="3"/>
      <c r="H199" s="3"/>
      <c r="I199" s="3"/>
    </row>
    <row r="200" spans="3:9">
      <c r="C200" s="3"/>
      <c r="D200" s="3"/>
      <c r="E200" s="3"/>
      <c r="F200" s="3"/>
      <c r="G200" s="3"/>
      <c r="H200" s="3"/>
      <c r="I200" s="3"/>
    </row>
    <row r="201" spans="3:9">
      <c r="C201" s="3"/>
      <c r="D201" s="3"/>
      <c r="E201" s="3"/>
      <c r="F201" s="3"/>
      <c r="G201" s="3"/>
      <c r="H201" s="3"/>
      <c r="I201" s="3"/>
    </row>
    <row r="202" spans="3:9">
      <c r="C202" s="3"/>
      <c r="D202" s="3"/>
      <c r="E202" s="3"/>
      <c r="F202" s="3"/>
      <c r="G202" s="3"/>
      <c r="H202" s="3"/>
      <c r="I202" s="3"/>
    </row>
    <row r="203" spans="3:9">
      <c r="C203" s="3"/>
      <c r="D203" s="3"/>
      <c r="E203" s="3"/>
      <c r="F203" s="3"/>
      <c r="G203" s="3"/>
      <c r="H203" s="3"/>
      <c r="I203" s="3"/>
    </row>
    <row r="204" spans="3:9">
      <c r="C204" s="3"/>
      <c r="D204" s="3"/>
      <c r="E204" s="3"/>
      <c r="F204" s="3"/>
      <c r="G204" s="3"/>
      <c r="H204" s="3"/>
      <c r="I204" s="3"/>
    </row>
    <row r="205" spans="3:9">
      <c r="C205" s="3"/>
      <c r="D205" s="3"/>
      <c r="E205" s="3"/>
      <c r="F205" s="3"/>
      <c r="G205" s="3"/>
      <c r="H205" s="3"/>
      <c r="I205" s="3"/>
    </row>
    <row r="206" spans="3:9">
      <c r="C206" s="3"/>
      <c r="D206" s="3"/>
      <c r="E206" s="3"/>
      <c r="F206" s="3"/>
      <c r="G206" s="3"/>
      <c r="H206" s="3"/>
      <c r="I206" s="3"/>
    </row>
    <row r="207" spans="3:9">
      <c r="C207" s="3"/>
      <c r="D207" s="3"/>
      <c r="E207" s="3"/>
      <c r="F207" s="3"/>
      <c r="G207" s="3"/>
      <c r="H207" s="3"/>
      <c r="I207" s="3"/>
    </row>
    <row r="208" spans="3:9">
      <c r="C208" s="3"/>
      <c r="D208" s="3"/>
      <c r="E208" s="3"/>
      <c r="F208" s="3"/>
      <c r="G208" s="3"/>
      <c r="H208" s="3"/>
      <c r="I208" s="3"/>
    </row>
    <row r="209" spans="3:9">
      <c r="C209" s="3"/>
      <c r="D209" s="3"/>
      <c r="E209" s="3"/>
      <c r="F209" s="3"/>
      <c r="G209" s="3"/>
      <c r="H209" s="3"/>
      <c r="I209" s="3"/>
    </row>
    <row r="210" spans="3:9">
      <c r="C210" s="3"/>
      <c r="D210" s="3"/>
      <c r="E210" s="3"/>
      <c r="F210" s="3"/>
      <c r="G210" s="3"/>
      <c r="H210" s="3"/>
      <c r="I210" s="3"/>
    </row>
    <row r="211" spans="3:9">
      <c r="C211" s="3"/>
      <c r="D211" s="3"/>
      <c r="E211" s="3"/>
      <c r="F211" s="3"/>
      <c r="G211" s="3"/>
      <c r="H211" s="3"/>
      <c r="I211" s="3"/>
    </row>
    <row r="212" spans="3:9">
      <c r="C212" s="3"/>
      <c r="D212" s="3"/>
      <c r="E212" s="3"/>
      <c r="F212" s="3"/>
      <c r="G212" s="3"/>
      <c r="H212" s="3"/>
      <c r="I212" s="3"/>
    </row>
    <row r="213" spans="3:9">
      <c r="C213" s="3"/>
      <c r="D213" s="3"/>
      <c r="E213" s="3"/>
      <c r="F213" s="3"/>
      <c r="G213" s="3"/>
      <c r="H213" s="3"/>
      <c r="I213" s="3"/>
    </row>
    <row r="214" spans="3:9">
      <c r="C214" s="3"/>
      <c r="D214" s="3"/>
      <c r="E214" s="3"/>
      <c r="F214" s="3"/>
      <c r="G214" s="3"/>
      <c r="H214" s="3"/>
      <c r="I214" s="3"/>
    </row>
    <row r="215" spans="3:9">
      <c r="C215" s="3"/>
      <c r="D215" s="3"/>
      <c r="E215" s="3"/>
      <c r="F215" s="3"/>
      <c r="G215" s="3"/>
      <c r="H215" s="3"/>
      <c r="I215" s="3"/>
    </row>
    <row r="216" spans="3:9">
      <c r="C216" s="3"/>
      <c r="D216" s="3"/>
      <c r="E216" s="3"/>
      <c r="F216" s="3"/>
      <c r="G216" s="3"/>
      <c r="H216" s="3"/>
      <c r="I216" s="3"/>
    </row>
    <row r="217" spans="3:9">
      <c r="C217" s="3"/>
      <c r="D217" s="3"/>
      <c r="E217" s="3"/>
      <c r="F217" s="3"/>
      <c r="G217" s="3"/>
      <c r="H217" s="3"/>
      <c r="I217" s="3"/>
    </row>
    <row r="218" spans="3:9">
      <c r="C218" s="3"/>
      <c r="D218" s="3"/>
      <c r="E218" s="3"/>
      <c r="F218" s="3"/>
      <c r="G218" s="3"/>
      <c r="H218" s="3"/>
      <c r="I218" s="3"/>
    </row>
    <row r="219" spans="3:9">
      <c r="C219" s="3"/>
      <c r="D219" s="3"/>
      <c r="E219" s="3"/>
      <c r="F219" s="3"/>
      <c r="G219" s="3"/>
      <c r="H219" s="3"/>
      <c r="I219" s="3"/>
    </row>
    <row r="220" spans="3:9">
      <c r="C220" s="3"/>
      <c r="D220" s="3"/>
      <c r="E220" s="3"/>
      <c r="F220" s="3"/>
      <c r="G220" s="3"/>
      <c r="H220" s="3"/>
      <c r="I220" s="3"/>
    </row>
    <row r="221" spans="3:9">
      <c r="C221" s="3"/>
      <c r="D221" s="3"/>
      <c r="E221" s="3"/>
      <c r="F221" s="3"/>
      <c r="G221" s="3"/>
      <c r="H221" s="3"/>
      <c r="I221" s="3"/>
    </row>
    <row r="222" spans="3:9">
      <c r="C222" s="3"/>
      <c r="D222" s="3"/>
      <c r="E222" s="3"/>
      <c r="F222" s="3"/>
      <c r="G222" s="3"/>
      <c r="H222" s="3"/>
      <c r="I222" s="3"/>
    </row>
    <row r="223" spans="3:9">
      <c r="C223" s="3"/>
      <c r="D223" s="3"/>
      <c r="E223" s="3"/>
      <c r="F223" s="3"/>
      <c r="G223" s="3"/>
      <c r="H223" s="3"/>
      <c r="I223" s="3"/>
    </row>
    <row r="224" spans="3:9">
      <c r="C224" s="3"/>
      <c r="D224" s="3"/>
      <c r="E224" s="3"/>
      <c r="F224" s="3"/>
      <c r="G224" s="3"/>
      <c r="H224" s="3"/>
      <c r="I224" s="3"/>
    </row>
    <row r="225" spans="3:9">
      <c r="C225" s="3"/>
      <c r="D225" s="3"/>
      <c r="E225" s="3"/>
      <c r="F225" s="3"/>
      <c r="G225" s="3"/>
      <c r="H225" s="3"/>
      <c r="I225" s="3"/>
    </row>
    <row r="226" spans="3:9">
      <c r="C226" s="3"/>
      <c r="D226" s="3"/>
      <c r="E226" s="3"/>
      <c r="F226" s="3"/>
      <c r="G226" s="3"/>
      <c r="H226" s="3"/>
      <c r="I226" s="3"/>
    </row>
    <row r="227" spans="3:9">
      <c r="C227" s="3"/>
      <c r="D227" s="3"/>
      <c r="E227" s="3"/>
      <c r="F227" s="3"/>
      <c r="G227" s="3"/>
      <c r="H227" s="3"/>
      <c r="I227" s="3"/>
    </row>
    <row r="228" spans="3:9">
      <c r="C228" s="3"/>
      <c r="D228" s="3"/>
      <c r="E228" s="3"/>
      <c r="F228" s="3"/>
      <c r="G228" s="3"/>
      <c r="H228" s="3"/>
      <c r="I228" s="3"/>
    </row>
    <row r="229" spans="3:9">
      <c r="C229" s="3"/>
      <c r="D229" s="3"/>
      <c r="E229" s="3"/>
      <c r="F229" s="3"/>
      <c r="G229" s="3"/>
      <c r="H229" s="3"/>
      <c r="I229" s="3"/>
    </row>
    <row r="230" spans="3:9">
      <c r="C230" s="3"/>
      <c r="D230" s="3"/>
      <c r="E230" s="3"/>
      <c r="F230" s="3"/>
      <c r="G230" s="3"/>
      <c r="H230" s="3"/>
      <c r="I230" s="3"/>
    </row>
    <row r="231" spans="3:9">
      <c r="C231" s="3"/>
      <c r="D231" s="3"/>
      <c r="E231" s="3"/>
      <c r="F231" s="3"/>
      <c r="G231" s="3"/>
      <c r="H231" s="3"/>
      <c r="I231" s="3"/>
    </row>
    <row r="232" spans="3:9">
      <c r="C232" s="3"/>
      <c r="D232" s="3"/>
      <c r="E232" s="3"/>
      <c r="F232" s="3"/>
      <c r="G232" s="3"/>
      <c r="H232" s="3"/>
      <c r="I232" s="3"/>
    </row>
    <row r="233" spans="3:9">
      <c r="C233" s="3"/>
      <c r="D233" s="3"/>
      <c r="E233" s="3"/>
      <c r="F233" s="3"/>
      <c r="G233" s="3"/>
      <c r="H233" s="3"/>
      <c r="I233" s="3"/>
    </row>
    <row r="234" spans="3:9">
      <c r="C234" s="3"/>
      <c r="D234" s="3"/>
      <c r="E234" s="3"/>
      <c r="F234" s="3"/>
      <c r="G234" s="3"/>
      <c r="H234" s="3"/>
      <c r="I234" s="3"/>
    </row>
    <row r="235" spans="3:9">
      <c r="C235" s="3"/>
      <c r="D235" s="3"/>
      <c r="E235" s="3"/>
      <c r="F235" s="3"/>
      <c r="G235" s="3"/>
      <c r="H235" s="3"/>
      <c r="I235" s="3"/>
    </row>
    <row r="236" spans="3:9">
      <c r="C236" s="3"/>
      <c r="D236" s="3"/>
      <c r="E236" s="3"/>
      <c r="F236" s="3"/>
      <c r="G236" s="3"/>
      <c r="H236" s="3"/>
      <c r="I236" s="3"/>
    </row>
    <row r="237" spans="3:9">
      <c r="C237" s="3"/>
      <c r="D237" s="3"/>
      <c r="E237" s="3"/>
      <c r="F237" s="3"/>
      <c r="G237" s="3"/>
      <c r="H237" s="3"/>
      <c r="I237" s="3"/>
    </row>
    <row r="238" spans="3:9">
      <c r="C238" s="3"/>
      <c r="D238" s="3"/>
      <c r="E238" s="3"/>
      <c r="F238" s="3"/>
      <c r="G238" s="3"/>
      <c r="H238" s="3"/>
      <c r="I238" s="3"/>
    </row>
    <row r="239" spans="3:9">
      <c r="C239" s="3"/>
      <c r="D239" s="3"/>
      <c r="E239" s="3"/>
      <c r="F239" s="3"/>
      <c r="G239" s="3"/>
      <c r="H239" s="3"/>
      <c r="I239" s="3"/>
    </row>
    <row r="240" spans="3:9">
      <c r="C240" s="3"/>
      <c r="D240" s="3"/>
      <c r="E240" s="3"/>
      <c r="F240" s="3"/>
      <c r="G240" s="3"/>
      <c r="H240" s="3"/>
      <c r="I240" s="3"/>
    </row>
    <row r="241" spans="3:9">
      <c r="C241" s="3"/>
      <c r="D241" s="3"/>
      <c r="E241" s="3"/>
      <c r="F241" s="3"/>
      <c r="G241" s="3"/>
      <c r="H241" s="3"/>
      <c r="I241" s="3"/>
    </row>
    <row r="242" spans="3:9">
      <c r="C242" s="3"/>
      <c r="D242" s="3"/>
      <c r="E242" s="3"/>
      <c r="F242" s="3"/>
      <c r="G242" s="3"/>
      <c r="H242" s="3"/>
      <c r="I242" s="3"/>
    </row>
    <row r="243" spans="3:9">
      <c r="C243" s="3"/>
      <c r="D243" s="3"/>
      <c r="E243" s="3"/>
      <c r="F243" s="3"/>
      <c r="G243" s="3"/>
      <c r="H243" s="3"/>
      <c r="I243" s="3"/>
    </row>
    <row r="244" spans="3:9">
      <c r="C244" s="3"/>
      <c r="D244" s="3"/>
      <c r="E244" s="3"/>
      <c r="F244" s="3"/>
      <c r="G244" s="3"/>
      <c r="H244" s="3"/>
      <c r="I244" s="3"/>
    </row>
    <row r="245" spans="3:9">
      <c r="C245" s="3"/>
      <c r="D245" s="3"/>
      <c r="E245" s="3"/>
      <c r="F245" s="3"/>
      <c r="G245" s="3"/>
      <c r="H245" s="3"/>
      <c r="I245" s="3"/>
    </row>
    <row r="246" spans="3:9">
      <c r="C246" s="3"/>
      <c r="D246" s="3"/>
      <c r="E246" s="3"/>
      <c r="F246" s="3"/>
      <c r="G246" s="3"/>
      <c r="H246" s="3"/>
      <c r="I246" s="3"/>
    </row>
    <row r="247" spans="3:9">
      <c r="C247" s="3"/>
      <c r="D247" s="3"/>
      <c r="E247" s="3"/>
      <c r="F247" s="3"/>
      <c r="G247" s="3"/>
      <c r="H247" s="3"/>
      <c r="I247" s="3"/>
    </row>
    <row r="248" spans="3:9">
      <c r="C248" s="3"/>
      <c r="D248" s="3"/>
      <c r="E248" s="3"/>
      <c r="F248" s="3"/>
      <c r="G248" s="3"/>
      <c r="H248" s="3"/>
      <c r="I248" s="3"/>
    </row>
    <row r="249" spans="3:9">
      <c r="C249" s="3"/>
      <c r="D249" s="3"/>
      <c r="E249" s="3"/>
      <c r="F249" s="3"/>
      <c r="G249" s="3"/>
      <c r="H249" s="3"/>
      <c r="I249" s="3"/>
    </row>
    <row r="250" spans="3:9">
      <c r="C250" s="3"/>
      <c r="D250" s="3"/>
      <c r="E250" s="3"/>
      <c r="F250" s="3"/>
      <c r="G250" s="3"/>
      <c r="H250" s="3"/>
      <c r="I250" s="3"/>
    </row>
    <row r="251" spans="3:9">
      <c r="C251" s="3"/>
      <c r="D251" s="3"/>
      <c r="E251" s="3"/>
      <c r="F251" s="3"/>
      <c r="G251" s="3"/>
      <c r="H251" s="3"/>
      <c r="I251" s="3"/>
    </row>
    <row r="252" spans="3:9">
      <c r="C252" s="3"/>
      <c r="D252" s="3"/>
      <c r="E252" s="3"/>
      <c r="F252" s="3"/>
      <c r="G252" s="3"/>
      <c r="H252" s="3"/>
      <c r="I252" s="3"/>
    </row>
    <row r="253" spans="3:9">
      <c r="C253" s="3"/>
      <c r="D253" s="3"/>
      <c r="E253" s="3"/>
      <c r="F253" s="3"/>
      <c r="G253" s="3"/>
      <c r="H253" s="3"/>
      <c r="I253" s="3"/>
    </row>
    <row r="254" spans="3:9">
      <c r="C254" s="3"/>
      <c r="D254" s="3"/>
      <c r="E254" s="3"/>
      <c r="F254" s="3"/>
      <c r="G254" s="3"/>
      <c r="H254" s="3"/>
      <c r="I254" s="3"/>
    </row>
    <row r="255" spans="3:9">
      <c r="C255" s="3"/>
      <c r="D255" s="3"/>
      <c r="E255" s="3"/>
      <c r="F255" s="3"/>
      <c r="G255" s="3"/>
      <c r="H255" s="3"/>
      <c r="I255" s="3"/>
    </row>
    <row r="256" spans="3:9">
      <c r="C256" s="3"/>
      <c r="D256" s="3"/>
      <c r="E256" s="3"/>
      <c r="F256" s="3"/>
      <c r="G256" s="3"/>
      <c r="H256" s="3"/>
      <c r="I256" s="3"/>
    </row>
    <row r="257" spans="3:9">
      <c r="C257" s="3"/>
      <c r="D257" s="3"/>
      <c r="E257" s="3"/>
      <c r="F257" s="3"/>
      <c r="G257" s="3"/>
      <c r="H257" s="3"/>
      <c r="I257" s="3"/>
    </row>
    <row r="258" spans="3:9">
      <c r="C258" s="3"/>
      <c r="D258" s="3"/>
      <c r="E258" s="3"/>
      <c r="F258" s="3"/>
      <c r="G258" s="3"/>
      <c r="H258" s="3"/>
      <c r="I258" s="3"/>
    </row>
    <row r="259" spans="3:9">
      <c r="C259" s="3"/>
      <c r="D259" s="3"/>
      <c r="E259" s="3"/>
      <c r="F259" s="3"/>
      <c r="G259" s="3"/>
      <c r="H259" s="3"/>
      <c r="I259" s="3"/>
    </row>
    <row r="260" spans="3:9">
      <c r="C260" s="3"/>
      <c r="D260" s="3"/>
      <c r="E260" s="3"/>
      <c r="F260" s="3"/>
      <c r="G260" s="3"/>
      <c r="H260" s="3"/>
      <c r="I260" s="3"/>
    </row>
    <row r="261" spans="3:9">
      <c r="C261" s="3"/>
      <c r="D261" s="3"/>
      <c r="E261" s="3"/>
      <c r="F261" s="3"/>
      <c r="G261" s="3"/>
      <c r="H261" s="3"/>
      <c r="I261" s="3"/>
    </row>
    <row r="262" spans="3:9">
      <c r="C262" s="3"/>
      <c r="D262" s="3"/>
      <c r="E262" s="3"/>
      <c r="F262" s="3"/>
      <c r="G262" s="3"/>
      <c r="H262" s="3"/>
      <c r="I262" s="3"/>
    </row>
    <row r="263" spans="3:9">
      <c r="C263" s="3"/>
      <c r="D263" s="3"/>
      <c r="E263" s="3"/>
      <c r="F263" s="3"/>
      <c r="G263" s="3"/>
      <c r="H263" s="3"/>
      <c r="I263" s="3"/>
    </row>
    <row r="264" spans="3:9">
      <c r="C264" s="3"/>
      <c r="D264" s="3"/>
      <c r="E264" s="3"/>
      <c r="F264" s="3"/>
      <c r="G264" s="3"/>
      <c r="H264" s="3"/>
      <c r="I264" s="3"/>
    </row>
    <row r="265" spans="3:9">
      <c r="C265" s="3"/>
      <c r="D265" s="3"/>
      <c r="E265" s="3"/>
      <c r="F265" s="3"/>
      <c r="G265" s="3"/>
      <c r="H265" s="3"/>
      <c r="I265" s="3"/>
    </row>
    <row r="266" spans="3:9">
      <c r="C266" s="3"/>
      <c r="D266" s="3"/>
      <c r="E266" s="3"/>
      <c r="F266" s="3"/>
      <c r="G266" s="3"/>
      <c r="H266" s="3"/>
      <c r="I266" s="3"/>
    </row>
    <row r="267" spans="3:9">
      <c r="C267" s="3"/>
      <c r="D267" s="3"/>
      <c r="E267" s="3"/>
      <c r="F267" s="3"/>
      <c r="G267" s="3"/>
      <c r="H267" s="3"/>
      <c r="I267" s="3"/>
    </row>
    <row r="268" spans="3:9">
      <c r="C268" s="3"/>
      <c r="D268" s="3"/>
      <c r="E268" s="3"/>
      <c r="F268" s="3"/>
      <c r="G268" s="3"/>
      <c r="H268" s="3"/>
      <c r="I268" s="3"/>
    </row>
    <row r="269" spans="3:9">
      <c r="C269" s="3"/>
      <c r="D269" s="3"/>
      <c r="E269" s="3"/>
      <c r="F269" s="3"/>
      <c r="G269" s="3"/>
      <c r="H269" s="3"/>
      <c r="I269" s="3"/>
    </row>
    <row r="270" spans="3:9">
      <c r="C270" s="3"/>
      <c r="D270" s="3"/>
      <c r="E270" s="3"/>
      <c r="F270" s="3"/>
      <c r="G270" s="3"/>
      <c r="H270" s="3"/>
      <c r="I270" s="3"/>
    </row>
    <row r="271" spans="3:9">
      <c r="C271" s="3"/>
      <c r="D271" s="3"/>
      <c r="E271" s="3"/>
      <c r="F271" s="3"/>
      <c r="G271" s="3"/>
      <c r="H271" s="3"/>
      <c r="I271" s="3"/>
    </row>
    <row r="272" spans="3:9">
      <c r="C272" s="3"/>
      <c r="D272" s="3"/>
      <c r="E272" s="3"/>
      <c r="F272" s="3"/>
      <c r="G272" s="3"/>
      <c r="H272" s="3"/>
      <c r="I272" s="3"/>
    </row>
    <row r="273" spans="3:9">
      <c r="C273" s="3"/>
      <c r="D273" s="3"/>
      <c r="E273" s="3"/>
      <c r="F273" s="3"/>
      <c r="G273" s="3"/>
      <c r="H273" s="3"/>
      <c r="I273" s="3"/>
    </row>
    <row r="274" spans="3:9">
      <c r="C274" s="3"/>
      <c r="D274" s="3"/>
      <c r="E274" s="3"/>
      <c r="F274" s="3"/>
      <c r="G274" s="3"/>
      <c r="H274" s="3"/>
      <c r="I274" s="3"/>
    </row>
    <row r="275" spans="3:9">
      <c r="C275" s="3"/>
      <c r="D275" s="3"/>
      <c r="E275" s="3"/>
      <c r="F275" s="3"/>
      <c r="G275" s="3"/>
      <c r="H275" s="3"/>
      <c r="I275" s="3"/>
    </row>
    <row r="276" spans="3:9">
      <c r="C276" s="3"/>
      <c r="D276" s="3"/>
      <c r="E276" s="3"/>
      <c r="F276" s="3"/>
      <c r="G276" s="3"/>
      <c r="H276" s="3"/>
      <c r="I276" s="3"/>
    </row>
    <row r="277" spans="3:9">
      <c r="C277" s="3"/>
      <c r="D277" s="3"/>
      <c r="E277" s="3"/>
      <c r="F277" s="3"/>
      <c r="G277" s="3"/>
      <c r="H277" s="3"/>
      <c r="I277" s="3"/>
    </row>
    <row r="278" spans="3:9">
      <c r="C278" s="3"/>
      <c r="D278" s="3"/>
      <c r="E278" s="3"/>
      <c r="F278" s="3"/>
      <c r="G278" s="3"/>
      <c r="H278" s="3"/>
      <c r="I278" s="3"/>
    </row>
    <row r="279" spans="3:9">
      <c r="C279" s="3"/>
      <c r="D279" s="3"/>
      <c r="E279" s="3"/>
      <c r="F279" s="3"/>
      <c r="G279" s="3"/>
      <c r="H279" s="3"/>
      <c r="I279" s="3"/>
    </row>
    <row r="280" spans="3:9">
      <c r="C280" s="3"/>
      <c r="D280" s="3"/>
      <c r="E280" s="3"/>
      <c r="F280" s="3"/>
      <c r="G280" s="3"/>
      <c r="H280" s="3"/>
      <c r="I280" s="3"/>
    </row>
    <row r="281" spans="3:9">
      <c r="C281" s="3"/>
      <c r="D281" s="3"/>
      <c r="E281" s="3"/>
      <c r="F281" s="3"/>
      <c r="G281" s="3"/>
      <c r="H281" s="3"/>
      <c r="I281" s="3"/>
    </row>
    <row r="282" spans="3:9">
      <c r="C282" s="3"/>
      <c r="D282" s="3"/>
      <c r="E282" s="3"/>
      <c r="F282" s="3"/>
      <c r="G282" s="3"/>
      <c r="H282" s="3"/>
      <c r="I282" s="3"/>
    </row>
    <row r="283" spans="3:9">
      <c r="C283" s="3"/>
      <c r="D283" s="3"/>
      <c r="E283" s="3"/>
      <c r="F283" s="3"/>
      <c r="G283" s="3"/>
      <c r="H283" s="3"/>
      <c r="I283" s="3"/>
    </row>
    <row r="284" spans="3:9">
      <c r="C284" s="3"/>
      <c r="D284" s="3"/>
      <c r="E284" s="3"/>
      <c r="F284" s="3"/>
      <c r="G284" s="3"/>
      <c r="H284" s="3"/>
      <c r="I284" s="3"/>
    </row>
    <row r="285" spans="3:9">
      <c r="C285" s="3"/>
      <c r="D285" s="3"/>
      <c r="E285" s="3"/>
      <c r="F285" s="3"/>
      <c r="G285" s="3"/>
      <c r="H285" s="3"/>
      <c r="I285" s="3"/>
    </row>
    <row r="286" spans="3:9">
      <c r="C286" s="3"/>
      <c r="D286" s="3"/>
      <c r="E286" s="3"/>
      <c r="F286" s="3"/>
      <c r="G286" s="3"/>
      <c r="H286" s="3"/>
      <c r="I286" s="3"/>
    </row>
    <row r="287" spans="3:9">
      <c r="C287" s="3"/>
      <c r="D287" s="3"/>
      <c r="E287" s="3"/>
      <c r="F287" s="3"/>
      <c r="G287" s="3"/>
      <c r="H287" s="3"/>
      <c r="I287" s="3"/>
    </row>
    <row r="288" spans="3:9">
      <c r="C288" s="3"/>
      <c r="D288" s="3"/>
      <c r="E288" s="3"/>
      <c r="F288" s="3"/>
      <c r="G288" s="3"/>
      <c r="H288" s="3"/>
      <c r="I288" s="3"/>
    </row>
    <row r="289" spans="3:9">
      <c r="C289" s="3"/>
      <c r="D289" s="3"/>
      <c r="E289" s="3"/>
      <c r="F289" s="3"/>
      <c r="G289" s="3"/>
      <c r="H289" s="3"/>
      <c r="I289" s="3"/>
    </row>
    <row r="290" spans="3:9">
      <c r="C290" s="3"/>
      <c r="D290" s="3"/>
      <c r="E290" s="3"/>
      <c r="F290" s="3"/>
      <c r="G290" s="3"/>
      <c r="H290" s="3"/>
      <c r="I290" s="3"/>
    </row>
    <row r="291" spans="3:9">
      <c r="C291" s="3"/>
      <c r="D291" s="3"/>
      <c r="E291" s="3"/>
      <c r="F291" s="3"/>
      <c r="G291" s="3"/>
      <c r="H291" s="3"/>
      <c r="I291" s="3"/>
    </row>
    <row r="292" spans="3:9">
      <c r="C292" s="3"/>
      <c r="D292" s="3"/>
      <c r="E292" s="3"/>
      <c r="F292" s="3"/>
      <c r="G292" s="3"/>
      <c r="H292" s="3"/>
      <c r="I292" s="3"/>
    </row>
    <row r="293" spans="3:9">
      <c r="C293" s="3"/>
      <c r="D293" s="3"/>
      <c r="E293" s="3"/>
      <c r="F293" s="3"/>
      <c r="G293" s="3"/>
      <c r="H293" s="3"/>
      <c r="I293" s="3"/>
    </row>
    <row r="294" spans="3:9">
      <c r="C294" s="3"/>
      <c r="D294" s="3"/>
      <c r="E294" s="3"/>
      <c r="F294" s="3"/>
      <c r="G294" s="3"/>
      <c r="H294" s="3"/>
      <c r="I294" s="3"/>
    </row>
    <row r="295" spans="3:9">
      <c r="C295" s="3"/>
      <c r="D295" s="3"/>
      <c r="E295" s="3"/>
      <c r="F295" s="3"/>
      <c r="G295" s="3"/>
      <c r="H295" s="3"/>
      <c r="I295" s="3"/>
    </row>
    <row r="296" spans="3:9">
      <c r="C296" s="3"/>
      <c r="D296" s="3"/>
      <c r="E296" s="3"/>
      <c r="F296" s="3"/>
      <c r="G296" s="3"/>
      <c r="H296" s="3"/>
      <c r="I296" s="3"/>
    </row>
    <row r="297" spans="3:9">
      <c r="C297" s="3"/>
      <c r="D297" s="3"/>
      <c r="E297" s="3"/>
      <c r="F297" s="3"/>
      <c r="G297" s="3"/>
      <c r="H297" s="3"/>
      <c r="I297" s="3"/>
    </row>
    <row r="298" spans="3:9">
      <c r="C298" s="3"/>
      <c r="D298" s="3"/>
      <c r="E298" s="3"/>
      <c r="F298" s="3"/>
      <c r="G298" s="3"/>
      <c r="H298" s="3"/>
      <c r="I298" s="3"/>
    </row>
    <row r="299" spans="3:9">
      <c r="C299" s="3"/>
      <c r="D299" s="3"/>
      <c r="E299" s="3"/>
      <c r="F299" s="3"/>
      <c r="G299" s="3"/>
      <c r="H299" s="3"/>
      <c r="I299" s="3"/>
    </row>
    <row r="300" spans="3:9">
      <c r="C300" s="3"/>
      <c r="D300" s="3"/>
      <c r="E300" s="3"/>
      <c r="F300" s="3"/>
      <c r="G300" s="3"/>
      <c r="H300" s="3"/>
      <c r="I300" s="3"/>
    </row>
    <row r="301" spans="3:9">
      <c r="C301" s="3"/>
      <c r="D301" s="3"/>
      <c r="E301" s="3"/>
      <c r="F301" s="3"/>
      <c r="G301" s="3"/>
      <c r="H301" s="3"/>
      <c r="I301" s="3"/>
    </row>
    <row r="302" spans="3:9">
      <c r="C302" s="3"/>
      <c r="D302" s="3"/>
      <c r="E302" s="3"/>
      <c r="F302" s="3"/>
      <c r="G302" s="3"/>
      <c r="H302" s="3"/>
      <c r="I302" s="3"/>
    </row>
    <row r="303" spans="3:9">
      <c r="C303" s="3"/>
      <c r="D303" s="3"/>
      <c r="E303" s="3"/>
      <c r="F303" s="3"/>
      <c r="G303" s="3"/>
      <c r="H303" s="3"/>
      <c r="I303" s="3"/>
    </row>
    <row r="304" spans="3:9">
      <c r="C304" s="3"/>
      <c r="D304" s="3"/>
      <c r="E304" s="3"/>
      <c r="F304" s="3"/>
      <c r="G304" s="3"/>
      <c r="H304" s="3"/>
      <c r="I304" s="3"/>
    </row>
    <row r="305" spans="3:9">
      <c r="C305" s="3"/>
      <c r="D305" s="3"/>
      <c r="E305" s="3"/>
      <c r="F305" s="3"/>
      <c r="G305" s="3"/>
      <c r="H305" s="3"/>
      <c r="I305" s="3"/>
    </row>
    <row r="306" spans="3:9">
      <c r="C306" s="3"/>
      <c r="D306" s="3"/>
      <c r="E306" s="3"/>
      <c r="F306" s="3"/>
      <c r="G306" s="3"/>
      <c r="H306" s="3"/>
      <c r="I306" s="3"/>
    </row>
    <row r="307" spans="3:9">
      <c r="C307" s="3"/>
      <c r="D307" s="3"/>
      <c r="E307" s="3"/>
      <c r="F307" s="3"/>
      <c r="G307" s="3"/>
      <c r="H307" s="3"/>
      <c r="I307" s="3"/>
    </row>
    <row r="308" spans="3:9">
      <c r="C308" s="3"/>
      <c r="D308" s="3"/>
      <c r="E308" s="3"/>
      <c r="F308" s="3"/>
      <c r="G308" s="3"/>
      <c r="H308" s="3"/>
      <c r="I308" s="3"/>
    </row>
    <row r="309" spans="3:9">
      <c r="C309" s="3"/>
      <c r="D309" s="3"/>
      <c r="E309" s="3"/>
      <c r="F309" s="3"/>
      <c r="G309" s="3"/>
      <c r="H309" s="3"/>
      <c r="I309" s="3"/>
    </row>
    <row r="310" spans="3:9">
      <c r="C310" s="3"/>
      <c r="D310" s="3"/>
      <c r="E310" s="3"/>
      <c r="F310" s="3"/>
      <c r="G310" s="3"/>
      <c r="H310" s="3"/>
      <c r="I310" s="3"/>
    </row>
    <row r="311" spans="3:9">
      <c r="C311" s="3"/>
      <c r="D311" s="3"/>
      <c r="E311" s="3"/>
      <c r="F311" s="3"/>
      <c r="G311" s="3"/>
      <c r="H311" s="3"/>
      <c r="I311" s="3"/>
    </row>
    <row r="312" spans="3:9">
      <c r="C312" s="3"/>
      <c r="D312" s="3"/>
      <c r="E312" s="3"/>
      <c r="F312" s="3"/>
      <c r="G312" s="3"/>
      <c r="H312" s="3"/>
      <c r="I312" s="3"/>
    </row>
    <row r="313" spans="3:9">
      <c r="C313" s="3"/>
      <c r="D313" s="3"/>
      <c r="E313" s="3"/>
      <c r="F313" s="3"/>
      <c r="G313" s="3"/>
      <c r="H313" s="3"/>
      <c r="I313" s="3"/>
    </row>
    <row r="314" spans="3:9">
      <c r="C314" s="3"/>
      <c r="D314" s="3"/>
      <c r="E314" s="3"/>
      <c r="F314" s="3"/>
      <c r="G314" s="3"/>
      <c r="H314" s="3"/>
      <c r="I314" s="3"/>
    </row>
    <row r="315" spans="3:9">
      <c r="C315" s="3"/>
      <c r="D315" s="3"/>
      <c r="E315" s="3"/>
      <c r="F315" s="3"/>
      <c r="G315" s="3"/>
      <c r="H315" s="3"/>
      <c r="I315" s="3"/>
    </row>
    <row r="316" spans="3:9">
      <c r="C316" s="3"/>
      <c r="D316" s="3"/>
      <c r="E316" s="3"/>
      <c r="F316" s="3"/>
      <c r="G316" s="3"/>
      <c r="H316" s="3"/>
      <c r="I316" s="3"/>
    </row>
    <row r="317" spans="3:9">
      <c r="C317" s="3"/>
      <c r="D317" s="3"/>
      <c r="E317" s="3"/>
      <c r="F317" s="3"/>
      <c r="G317" s="3"/>
      <c r="H317" s="3"/>
      <c r="I317" s="3"/>
    </row>
    <row r="318" spans="3:9">
      <c r="C318" s="3"/>
      <c r="D318" s="3"/>
      <c r="E318" s="3"/>
      <c r="F318" s="3"/>
      <c r="G318" s="3"/>
      <c r="H318" s="3"/>
      <c r="I318" s="3"/>
    </row>
    <row r="319" spans="3:9">
      <c r="C319" s="3"/>
      <c r="D319" s="3"/>
      <c r="E319" s="3"/>
      <c r="F319" s="3"/>
      <c r="G319" s="3"/>
      <c r="H319" s="3"/>
      <c r="I319" s="3"/>
    </row>
    <row r="320" spans="3:9">
      <c r="C320" s="3"/>
      <c r="D320" s="3"/>
      <c r="E320" s="3"/>
      <c r="F320" s="3"/>
      <c r="G320" s="3"/>
      <c r="H320" s="3"/>
      <c r="I320" s="3"/>
    </row>
    <row r="321" spans="3:8">
      <c r="C321" s="3"/>
      <c r="D321" s="3"/>
      <c r="E321" s="3"/>
      <c r="F321" s="3"/>
      <c r="G321" s="3"/>
      <c r="H321" s="3"/>
    </row>
    <row r="322" spans="3:8">
      <c r="C322" s="3"/>
      <c r="D322" s="3"/>
      <c r="E322" s="3"/>
      <c r="F322" s="3"/>
      <c r="G322" s="3"/>
      <c r="H322" s="3"/>
    </row>
    <row r="323" spans="3:8">
      <c r="C323" s="3"/>
      <c r="D323" s="3"/>
      <c r="E323" s="3"/>
      <c r="F323" s="3"/>
      <c r="G323" s="3"/>
      <c r="H323" s="3"/>
    </row>
    <row r="324" spans="3:8">
      <c r="C324" s="3"/>
      <c r="D324" s="3"/>
      <c r="E324" s="3"/>
      <c r="F324" s="3"/>
      <c r="G324" s="3"/>
      <c r="H324" s="3"/>
    </row>
    <row r="325" spans="3:8">
      <c r="C325" s="3"/>
      <c r="D325" s="3"/>
      <c r="E325" s="3"/>
      <c r="F325" s="3"/>
      <c r="G325" s="3"/>
      <c r="H325" s="3"/>
    </row>
    <row r="326" spans="3:8">
      <c r="C326" s="3"/>
      <c r="D326" s="3"/>
      <c r="E326" s="3"/>
      <c r="F326" s="3"/>
      <c r="G326" s="3"/>
      <c r="H326" s="3"/>
    </row>
    <row r="327" spans="3:8">
      <c r="C327" s="3"/>
      <c r="D327" s="3"/>
      <c r="E327" s="3"/>
      <c r="F327" s="3"/>
      <c r="G327" s="3"/>
      <c r="H327" s="3"/>
    </row>
    <row r="328" spans="3:8">
      <c r="C328" s="3"/>
      <c r="D328" s="3"/>
      <c r="E328" s="3"/>
      <c r="F328" s="3"/>
      <c r="G328" s="3"/>
      <c r="H328" s="3"/>
    </row>
    <row r="329" spans="3:8">
      <c r="C329" s="3"/>
      <c r="D329" s="3"/>
      <c r="E329" s="3"/>
      <c r="F329" s="3"/>
      <c r="G329" s="3"/>
      <c r="H329" s="3"/>
    </row>
    <row r="330" spans="3:8">
      <c r="C330" s="3"/>
      <c r="D330" s="3"/>
      <c r="E330" s="3"/>
      <c r="F330" s="3"/>
      <c r="G330" s="3"/>
      <c r="H330" s="3"/>
    </row>
    <row r="331" spans="3:8">
      <c r="C331" s="3"/>
      <c r="D331" s="3"/>
      <c r="E331" s="3"/>
      <c r="F331" s="3"/>
      <c r="G331" s="3"/>
      <c r="H331" s="3"/>
    </row>
    <row r="332" spans="3:8">
      <c r="C332" s="3"/>
      <c r="D332" s="3"/>
      <c r="E332" s="3"/>
      <c r="F332" s="3"/>
      <c r="G332" s="3"/>
      <c r="H332" s="3"/>
    </row>
    <row r="333" spans="3:8">
      <c r="C333" s="3"/>
      <c r="D333" s="3"/>
      <c r="E333" s="3"/>
      <c r="F333" s="3"/>
      <c r="G333" s="3"/>
      <c r="H333" s="3"/>
    </row>
    <row r="334" spans="3:8">
      <c r="C334" s="3"/>
      <c r="D334" s="3"/>
      <c r="E334" s="3"/>
      <c r="F334" s="3"/>
      <c r="G334" s="3"/>
      <c r="H334" s="3"/>
    </row>
    <row r="335" spans="3:8">
      <c r="C335" s="3"/>
      <c r="D335" s="3"/>
      <c r="E335" s="3"/>
      <c r="F335" s="3"/>
      <c r="G335" s="3"/>
      <c r="H335" s="3"/>
    </row>
    <row r="336" spans="3:8">
      <c r="C336" s="3"/>
      <c r="D336" s="3"/>
      <c r="E336" s="3"/>
      <c r="F336" s="3"/>
      <c r="G336" s="3"/>
      <c r="H336" s="3"/>
    </row>
    <row r="337" spans="3:8">
      <c r="C337" s="3"/>
      <c r="D337" s="3"/>
      <c r="E337" s="3"/>
      <c r="F337" s="3"/>
      <c r="G337" s="3"/>
      <c r="H337" s="3"/>
    </row>
    <row r="338" spans="3:8">
      <c r="C338" s="3"/>
      <c r="D338" s="3"/>
      <c r="E338" s="3"/>
      <c r="F338" s="3"/>
      <c r="G338" s="3"/>
      <c r="H338" s="3"/>
    </row>
    <row r="339" spans="3:8">
      <c r="C339" s="3"/>
      <c r="D339" s="3"/>
      <c r="E339" s="3"/>
      <c r="F339" s="3"/>
      <c r="G339" s="3"/>
      <c r="H339" s="3"/>
    </row>
    <row r="340" spans="3:8">
      <c r="C340" s="3"/>
      <c r="D340" s="3"/>
      <c r="E340" s="3"/>
      <c r="F340" s="3"/>
      <c r="G340" s="3"/>
      <c r="H340" s="3"/>
    </row>
    <row r="341" spans="3:8">
      <c r="C341" s="3"/>
      <c r="D341" s="3"/>
      <c r="E341" s="3"/>
      <c r="F341" s="3"/>
      <c r="G341" s="3"/>
      <c r="H341" s="3"/>
    </row>
    <row r="342" spans="3:8">
      <c r="C342" s="3"/>
      <c r="D342" s="3"/>
      <c r="E342" s="3"/>
      <c r="F342" s="3"/>
      <c r="G342" s="3"/>
      <c r="H342" s="3"/>
    </row>
    <row r="343" spans="3:8">
      <c r="C343" s="3"/>
      <c r="D343" s="3"/>
      <c r="E343" s="3"/>
      <c r="F343" s="3"/>
      <c r="G343" s="3"/>
      <c r="H343" s="3"/>
    </row>
    <row r="344" spans="3:8">
      <c r="C344" s="3"/>
      <c r="D344" s="3"/>
      <c r="E344" s="3"/>
      <c r="F344" s="3"/>
      <c r="G344" s="3"/>
      <c r="H344" s="3"/>
    </row>
    <row r="345" spans="3:8">
      <c r="C345" s="3"/>
      <c r="D345" s="3"/>
      <c r="E345" s="3"/>
      <c r="F345" s="3"/>
      <c r="G345" s="3"/>
      <c r="H345" s="3"/>
    </row>
    <row r="346" spans="3:8">
      <c r="C346" s="3"/>
      <c r="D346" s="3"/>
      <c r="E346" s="3"/>
      <c r="F346" s="3"/>
      <c r="G346" s="3"/>
      <c r="H346" s="3"/>
    </row>
    <row r="347" spans="3:8">
      <c r="C347" s="3"/>
      <c r="D347" s="3"/>
      <c r="E347" s="3"/>
      <c r="F347" s="3"/>
      <c r="G347" s="3"/>
      <c r="H347" s="3"/>
    </row>
    <row r="348" spans="3:8">
      <c r="C348" s="3"/>
      <c r="D348" s="3"/>
      <c r="E348" s="3"/>
      <c r="F348" s="3"/>
      <c r="G348" s="3"/>
      <c r="H348" s="3"/>
    </row>
    <row r="349" spans="3:8">
      <c r="C349" s="3"/>
      <c r="D349" s="3"/>
      <c r="E349" s="3"/>
      <c r="F349" s="3"/>
      <c r="G349" s="3"/>
      <c r="H349" s="3"/>
    </row>
    <row r="350" spans="3:8">
      <c r="C350" s="3"/>
      <c r="D350" s="3"/>
      <c r="E350" s="3"/>
      <c r="F350" s="3"/>
      <c r="G350" s="3"/>
      <c r="H350" s="3"/>
    </row>
    <row r="351" spans="3:8">
      <c r="C351" s="3"/>
      <c r="D351" s="3"/>
      <c r="E351" s="3"/>
      <c r="F351" s="3"/>
      <c r="G351" s="3"/>
      <c r="H351" s="3"/>
    </row>
    <row r="352" spans="3:8">
      <c r="C352" s="3"/>
      <c r="D352" s="3"/>
      <c r="E352" s="3"/>
      <c r="F352" s="3"/>
      <c r="G352" s="3"/>
      <c r="H352" s="3"/>
    </row>
    <row r="353" spans="3:8">
      <c r="C353" s="3"/>
      <c r="D353" s="3"/>
      <c r="E353" s="3"/>
      <c r="F353" s="3"/>
      <c r="G353" s="3"/>
      <c r="H353" s="3"/>
    </row>
    <row r="354" spans="3:8">
      <c r="C354" s="3"/>
      <c r="D354" s="3"/>
      <c r="E354" s="3"/>
      <c r="F354" s="3"/>
      <c r="G354" s="3"/>
      <c r="H354" s="3"/>
    </row>
    <row r="355" spans="3:8">
      <c r="C355" s="3"/>
      <c r="D355" s="3"/>
      <c r="E355" s="3"/>
      <c r="F355" s="3"/>
      <c r="G355" s="3"/>
      <c r="H355" s="3"/>
    </row>
    <row r="356" spans="3:8">
      <c r="C356" s="3"/>
      <c r="D356" s="3"/>
      <c r="E356" s="3"/>
      <c r="F356" s="3"/>
      <c r="G356" s="3"/>
      <c r="H356" s="3"/>
    </row>
    <row r="357" spans="3:8">
      <c r="C357" s="3"/>
      <c r="D357" s="3"/>
      <c r="E357" s="3"/>
      <c r="F357" s="3"/>
      <c r="G357" s="3"/>
      <c r="H357" s="3"/>
    </row>
    <row r="358" spans="3:8">
      <c r="C358" s="3"/>
      <c r="D358" s="3"/>
      <c r="E358" s="3"/>
      <c r="F358" s="3"/>
      <c r="G358" s="3"/>
      <c r="H358" s="3"/>
    </row>
    <row r="359" spans="3:8">
      <c r="C359" s="3"/>
      <c r="D359" s="3"/>
      <c r="E359" s="3"/>
      <c r="F359" s="3"/>
      <c r="G359" s="3"/>
      <c r="H359" s="3"/>
    </row>
    <row r="360" spans="3:8">
      <c r="C360" s="3"/>
      <c r="D360" s="3"/>
      <c r="E360" s="3"/>
      <c r="F360" s="3"/>
      <c r="G360" s="3"/>
      <c r="H360" s="3"/>
    </row>
    <row r="361" spans="3:8">
      <c r="C361" s="3"/>
      <c r="D361" s="3"/>
      <c r="E361" s="3"/>
      <c r="F361" s="3"/>
      <c r="G361" s="3"/>
      <c r="H361" s="3"/>
    </row>
    <row r="362" spans="3:8">
      <c r="C362" s="3"/>
      <c r="D362" s="3"/>
      <c r="E362" s="3"/>
      <c r="F362" s="3"/>
      <c r="G362" s="3"/>
      <c r="H362" s="3"/>
    </row>
    <row r="363" spans="3:8">
      <c r="C363" s="3"/>
      <c r="D363" s="3"/>
      <c r="E363" s="3"/>
      <c r="F363" s="3"/>
      <c r="G363" s="3"/>
      <c r="H363" s="3"/>
    </row>
    <row r="364" spans="3:8">
      <c r="C364" s="3"/>
      <c r="D364" s="3"/>
      <c r="E364" s="3"/>
      <c r="F364" s="3"/>
      <c r="G364" s="3"/>
      <c r="H364" s="3"/>
    </row>
    <row r="365" spans="3:8">
      <c r="C365" s="3"/>
      <c r="D365" s="3"/>
      <c r="E365" s="3"/>
      <c r="F365" s="3"/>
      <c r="G365" s="3"/>
      <c r="H365" s="3"/>
    </row>
    <row r="366" spans="3:8">
      <c r="C366" s="3"/>
      <c r="D366" s="3"/>
      <c r="E366" s="3"/>
      <c r="F366" s="3"/>
      <c r="G366" s="3"/>
      <c r="H366" s="3"/>
    </row>
    <row r="367" spans="3:8">
      <c r="C367" s="3"/>
      <c r="D367" s="3"/>
      <c r="E367" s="3"/>
      <c r="F367" s="3"/>
      <c r="G367" s="3"/>
      <c r="H367" s="3"/>
    </row>
    <row r="368" spans="3:8">
      <c r="C368" s="3"/>
      <c r="D368" s="3"/>
      <c r="E368" s="3"/>
      <c r="F368" s="3"/>
      <c r="G368" s="3"/>
      <c r="H368" s="3"/>
    </row>
    <row r="369" spans="3:8">
      <c r="C369" s="3"/>
      <c r="D369" s="3"/>
      <c r="E369" s="3"/>
      <c r="F369" s="3"/>
      <c r="G369" s="3"/>
      <c r="H369" s="3"/>
    </row>
    <row r="370" spans="3:8">
      <c r="C370" s="3"/>
      <c r="D370" s="3"/>
      <c r="E370" s="3"/>
      <c r="F370" s="3"/>
      <c r="G370" s="3"/>
      <c r="H370" s="3"/>
    </row>
    <row r="371" spans="3:8">
      <c r="C371" s="3"/>
      <c r="D371" s="3"/>
      <c r="E371" s="3"/>
      <c r="F371" s="3"/>
      <c r="G371" s="3"/>
      <c r="H371" s="3"/>
    </row>
    <row r="372" spans="3:8">
      <c r="C372" s="3"/>
      <c r="D372" s="3"/>
      <c r="E372" s="3"/>
      <c r="F372" s="3"/>
      <c r="G372" s="3"/>
      <c r="H372" s="3"/>
    </row>
    <row r="373" spans="3:8">
      <c r="C373" s="3"/>
      <c r="D373" s="3"/>
      <c r="E373" s="3"/>
      <c r="F373" s="3"/>
      <c r="G373" s="3"/>
      <c r="H373" s="3"/>
    </row>
    <row r="374" spans="3:8">
      <c r="C374" s="3"/>
      <c r="D374" s="3"/>
      <c r="E374" s="3"/>
      <c r="F374" s="3"/>
      <c r="G374" s="3"/>
      <c r="H374" s="3"/>
    </row>
    <row r="375" spans="3:8">
      <c r="C375" s="3"/>
      <c r="D375" s="3"/>
      <c r="E375" s="3"/>
      <c r="F375" s="3"/>
      <c r="G375" s="3"/>
      <c r="H375" s="3"/>
    </row>
    <row r="376" spans="3:8">
      <c r="C376" s="3"/>
      <c r="D376" s="3"/>
      <c r="E376" s="3"/>
      <c r="F376" s="3"/>
      <c r="G376" s="3"/>
      <c r="H376" s="3"/>
    </row>
    <row r="377" spans="3:8">
      <c r="C377" s="3"/>
      <c r="D377" s="3"/>
      <c r="E377" s="3"/>
      <c r="F377" s="3"/>
      <c r="G377" s="3"/>
      <c r="H377" s="3"/>
    </row>
    <row r="378" spans="3:8">
      <c r="C378" s="3"/>
      <c r="D378" s="3"/>
      <c r="E378" s="3"/>
      <c r="F378" s="3"/>
      <c r="G378" s="3"/>
      <c r="H378" s="3"/>
    </row>
    <row r="379" spans="3:8">
      <c r="C379" s="3"/>
      <c r="D379" s="3"/>
      <c r="E379" s="3"/>
      <c r="F379" s="3"/>
      <c r="G379" s="3"/>
      <c r="H379" s="3"/>
    </row>
    <row r="380" spans="3:8">
      <c r="C380" s="3"/>
      <c r="D380" s="3"/>
      <c r="E380" s="3"/>
      <c r="F380" s="3"/>
      <c r="G380" s="3"/>
      <c r="H380" s="3"/>
    </row>
    <row r="381" spans="3:8">
      <c r="C381" s="3"/>
      <c r="D381" s="3"/>
      <c r="E381" s="3"/>
      <c r="F381" s="3"/>
      <c r="G381" s="3"/>
      <c r="H381" s="3"/>
    </row>
    <row r="382" spans="3:8">
      <c r="C382" s="3"/>
      <c r="D382" s="3"/>
      <c r="E382" s="3"/>
      <c r="F382" s="3"/>
      <c r="G382" s="3"/>
      <c r="H382" s="3"/>
    </row>
    <row r="383" spans="3:8">
      <c r="C383" s="3"/>
      <c r="D383" s="3"/>
      <c r="E383" s="3"/>
      <c r="F383" s="3"/>
      <c r="G383" s="3"/>
      <c r="H383" s="3"/>
    </row>
    <row r="384" spans="3:8">
      <c r="C384" s="3"/>
      <c r="D384" s="3"/>
      <c r="E384" s="3"/>
      <c r="F384" s="3"/>
      <c r="G384" s="3"/>
      <c r="H384" s="3"/>
    </row>
    <row r="385" spans="3:8">
      <c r="C385" s="3"/>
      <c r="D385" s="3"/>
      <c r="E385" s="3"/>
      <c r="F385" s="3"/>
      <c r="G385" s="3"/>
      <c r="H385" s="3"/>
    </row>
    <row r="386" spans="3:8">
      <c r="C386" s="3"/>
      <c r="D386" s="3"/>
      <c r="E386" s="3"/>
      <c r="F386" s="3"/>
      <c r="G386" s="3"/>
      <c r="H386" s="3"/>
    </row>
    <row r="387" spans="3:8">
      <c r="C387" s="3"/>
      <c r="D387" s="3"/>
      <c r="E387" s="3"/>
      <c r="F387" s="3"/>
      <c r="G387" s="3"/>
      <c r="H387" s="3"/>
    </row>
    <row r="388" spans="3:8">
      <c r="C388" s="3"/>
      <c r="D388" s="3"/>
      <c r="E388" s="3"/>
      <c r="F388" s="3"/>
      <c r="G388" s="3"/>
      <c r="H388" s="3"/>
    </row>
    <row r="389" spans="3:8">
      <c r="C389" s="3"/>
      <c r="D389" s="3"/>
      <c r="E389" s="3"/>
      <c r="F389" s="3"/>
      <c r="G389" s="3"/>
      <c r="H389" s="3"/>
    </row>
    <row r="390" spans="3:8">
      <c r="C390" s="3"/>
      <c r="D390" s="3"/>
      <c r="E390" s="3"/>
      <c r="F390" s="3"/>
      <c r="G390" s="3"/>
      <c r="H390" s="3"/>
    </row>
    <row r="391" spans="3:8">
      <c r="C391" s="3"/>
      <c r="D391" s="3"/>
      <c r="E391" s="3"/>
      <c r="F391" s="3"/>
      <c r="G391" s="3"/>
      <c r="H391" s="3"/>
    </row>
    <row r="392" spans="3:8">
      <c r="C392" s="3"/>
      <c r="D392" s="3"/>
      <c r="E392" s="3"/>
      <c r="F392" s="3"/>
      <c r="G392" s="3"/>
      <c r="H392" s="3"/>
    </row>
    <row r="393" spans="3:8">
      <c r="C393" s="3"/>
      <c r="D393" s="3"/>
      <c r="E393" s="3"/>
      <c r="F393" s="3"/>
      <c r="G393" s="3"/>
      <c r="H393" s="3"/>
    </row>
    <row r="394" spans="3:8">
      <c r="C394" s="3"/>
      <c r="D394" s="3"/>
      <c r="E394" s="3"/>
      <c r="F394" s="3"/>
      <c r="G394" s="3"/>
      <c r="H394" s="3"/>
    </row>
    <row r="395" spans="3:8">
      <c r="C395" s="3"/>
      <c r="D395" s="3"/>
      <c r="E395" s="3"/>
      <c r="F395" s="3"/>
      <c r="G395" s="3"/>
      <c r="H395" s="3"/>
    </row>
    <row r="396" spans="3:8">
      <c r="C396" s="3"/>
      <c r="D396" s="3"/>
      <c r="E396" s="3"/>
      <c r="F396" s="3"/>
      <c r="G396" s="3"/>
      <c r="H396" s="3"/>
    </row>
    <row r="397" spans="3:8">
      <c r="C397" s="3"/>
      <c r="D397" s="3"/>
      <c r="E397" s="3"/>
      <c r="F397" s="3"/>
      <c r="G397" s="3"/>
      <c r="H397" s="3"/>
    </row>
    <row r="398" spans="3:8">
      <c r="C398" s="3"/>
      <c r="D398" s="3"/>
      <c r="E398" s="3"/>
      <c r="F398" s="3"/>
      <c r="G398" s="3"/>
      <c r="H398" s="3"/>
    </row>
    <row r="399" spans="3:8">
      <c r="C399" s="3"/>
      <c r="D399" s="3"/>
      <c r="E399" s="3"/>
      <c r="F399" s="3"/>
      <c r="G399" s="3"/>
      <c r="H399" s="3"/>
    </row>
    <row r="400" spans="3:8">
      <c r="C400" s="3"/>
      <c r="D400" s="3"/>
      <c r="E400" s="3"/>
      <c r="F400" s="3"/>
      <c r="G400" s="3"/>
      <c r="H400" s="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mapeamento dos emprestimos</vt:lpstr>
      <vt:lpstr>SAC</vt:lpstr>
      <vt:lpstr>PRICE</vt:lpstr>
      <vt:lpstr>comparação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Kássio Policarpo</dc:creator>
  <cp:keywords/>
  <dc:description/>
  <cp:lastModifiedBy>Fabio Torres</cp:lastModifiedBy>
  <cp:revision/>
  <dcterms:created xsi:type="dcterms:W3CDTF">2023-03-14T12:17:08Z</dcterms:created>
  <dcterms:modified xsi:type="dcterms:W3CDTF">2026-04-02T20:35:45Z</dcterms:modified>
  <cp:category/>
  <cp:contentStatus/>
</cp:coreProperties>
</file>